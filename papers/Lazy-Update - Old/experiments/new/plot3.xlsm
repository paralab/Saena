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baris\Dropbox\Projects\latex\SaenaNektar\CopperMountain18\experiments\new\"/>
    </mc:Choice>
  </mc:AlternateContent>
  <xr:revisionPtr revIDLastSave="0" documentId="13_ncr:1_{8AA27E38-E0D7-46A5-98EC-A87EB6FA4181}" xr6:coauthVersionLast="38" xr6:coauthVersionMax="38" xr10:uidLastSave="{00000000-0000-0000-0000-000000000000}"/>
  <bookViews>
    <workbookView xWindow="0" yWindow="0" windowWidth="16380" windowHeight="8190" tabRatio="993" xr2:uid="{00000000-000D-0000-FFFF-FFFF00000000}"/>
  </bookViews>
  <sheets>
    <sheet name="Sheet1" sheetId="1" r:id="rId1"/>
  </sheets>
  <calcPr calcId="162913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O56" i="1" l="1"/>
  <c r="L87" i="1"/>
  <c r="O11" i="1"/>
  <c r="L43" i="1"/>
  <c r="M43" i="1"/>
  <c r="R11" i="1"/>
  <c r="Q82" i="1"/>
  <c r="S82" i="1"/>
  <c r="B452" i="1"/>
  <c r="C452" i="1" s="1"/>
  <c r="B441" i="1"/>
  <c r="B442" i="1"/>
  <c r="C442" i="1" s="1"/>
  <c r="B443" i="1"/>
  <c r="C443" i="1" s="1"/>
  <c r="B444" i="1"/>
  <c r="C444" i="1" s="1"/>
  <c r="B445" i="1"/>
  <c r="B446" i="1"/>
  <c r="C446" i="1" s="1"/>
  <c r="B447" i="1"/>
  <c r="C447" i="1" s="1"/>
  <c r="B448" i="1"/>
  <c r="C448" i="1" s="1"/>
  <c r="B449" i="1"/>
  <c r="B450" i="1"/>
  <c r="C450" i="1" s="1"/>
  <c r="B451" i="1"/>
  <c r="C451" i="1" s="1"/>
  <c r="C441" i="1"/>
  <c r="C445" i="1"/>
  <c r="C449" i="1"/>
  <c r="B422" i="1"/>
  <c r="C422" i="1" s="1"/>
  <c r="B423" i="1"/>
  <c r="C423" i="1" s="1"/>
  <c r="B424" i="1"/>
  <c r="B425" i="1"/>
  <c r="C425" i="1" s="1"/>
  <c r="B426" i="1"/>
  <c r="C426" i="1" s="1"/>
  <c r="B427" i="1"/>
  <c r="C427" i="1" s="1"/>
  <c r="B428" i="1"/>
  <c r="B429" i="1"/>
  <c r="C429" i="1" s="1"/>
  <c r="B430" i="1"/>
  <c r="C430" i="1" s="1"/>
  <c r="B431" i="1"/>
  <c r="C431" i="1" s="1"/>
  <c r="B432" i="1"/>
  <c r="B433" i="1"/>
  <c r="C433" i="1" s="1"/>
  <c r="B434" i="1"/>
  <c r="C434" i="1" s="1"/>
  <c r="B435" i="1"/>
  <c r="C435" i="1" s="1"/>
  <c r="B436" i="1"/>
  <c r="B437" i="1"/>
  <c r="C437" i="1" s="1"/>
  <c r="B438" i="1"/>
  <c r="C438" i="1" s="1"/>
  <c r="B439" i="1"/>
  <c r="C439" i="1" s="1"/>
  <c r="B440" i="1"/>
  <c r="C440" i="1" s="1"/>
  <c r="C424" i="1"/>
  <c r="C428" i="1"/>
  <c r="C432" i="1"/>
  <c r="C436" i="1"/>
  <c r="B388" i="1"/>
  <c r="C388" i="1" s="1"/>
  <c r="B389" i="1"/>
  <c r="C389" i="1" s="1"/>
  <c r="B390" i="1"/>
  <c r="B391" i="1"/>
  <c r="C391" i="1" s="1"/>
  <c r="B392" i="1"/>
  <c r="B393" i="1"/>
  <c r="C393" i="1" s="1"/>
  <c r="B394" i="1"/>
  <c r="B395" i="1"/>
  <c r="C395" i="1" s="1"/>
  <c r="B396" i="1"/>
  <c r="C396" i="1" s="1"/>
  <c r="B397" i="1"/>
  <c r="C397" i="1" s="1"/>
  <c r="B398" i="1"/>
  <c r="B399" i="1"/>
  <c r="C399" i="1" s="1"/>
  <c r="B400" i="1"/>
  <c r="C400" i="1" s="1"/>
  <c r="B401" i="1"/>
  <c r="C401" i="1" s="1"/>
  <c r="B402" i="1"/>
  <c r="B403" i="1"/>
  <c r="C403" i="1" s="1"/>
  <c r="B404" i="1"/>
  <c r="C404" i="1" s="1"/>
  <c r="B405" i="1"/>
  <c r="C405" i="1" s="1"/>
  <c r="B406" i="1"/>
  <c r="B407" i="1"/>
  <c r="C407" i="1" s="1"/>
  <c r="B408" i="1"/>
  <c r="B409" i="1"/>
  <c r="C409" i="1" s="1"/>
  <c r="B410" i="1"/>
  <c r="B411" i="1"/>
  <c r="C411" i="1" s="1"/>
  <c r="B412" i="1"/>
  <c r="C412" i="1" s="1"/>
  <c r="B413" i="1"/>
  <c r="C413" i="1" s="1"/>
  <c r="B414" i="1"/>
  <c r="B415" i="1"/>
  <c r="C415" i="1" s="1"/>
  <c r="B416" i="1"/>
  <c r="C416" i="1" s="1"/>
  <c r="B417" i="1"/>
  <c r="C417" i="1" s="1"/>
  <c r="B418" i="1"/>
  <c r="B419" i="1"/>
  <c r="C419" i="1" s="1"/>
  <c r="B420" i="1"/>
  <c r="C420" i="1" s="1"/>
  <c r="B421" i="1"/>
  <c r="C421" i="1" s="1"/>
  <c r="C390" i="1"/>
  <c r="C392" i="1"/>
  <c r="C394" i="1"/>
  <c r="C398" i="1"/>
  <c r="C402" i="1"/>
  <c r="C406" i="1"/>
  <c r="C408" i="1"/>
  <c r="C410" i="1"/>
  <c r="C414" i="1"/>
  <c r="C418" i="1"/>
  <c r="B361" i="1"/>
  <c r="C361" i="1" s="1"/>
  <c r="B362" i="1"/>
  <c r="C362" i="1" s="1"/>
  <c r="B363" i="1"/>
  <c r="B364" i="1"/>
  <c r="C364" i="1" s="1"/>
  <c r="B365" i="1"/>
  <c r="C365" i="1" s="1"/>
  <c r="B366" i="1"/>
  <c r="C366" i="1" s="1"/>
  <c r="B367" i="1"/>
  <c r="B368" i="1"/>
  <c r="C368" i="1" s="1"/>
  <c r="B369" i="1"/>
  <c r="C369" i="1" s="1"/>
  <c r="B370" i="1"/>
  <c r="C370" i="1" s="1"/>
  <c r="B371" i="1"/>
  <c r="B372" i="1"/>
  <c r="C372" i="1" s="1"/>
  <c r="B373" i="1"/>
  <c r="C373" i="1" s="1"/>
  <c r="B374" i="1"/>
  <c r="C374" i="1" s="1"/>
  <c r="B375" i="1"/>
  <c r="B376" i="1"/>
  <c r="C376" i="1" s="1"/>
  <c r="B377" i="1"/>
  <c r="C377" i="1" s="1"/>
  <c r="B378" i="1"/>
  <c r="C378" i="1" s="1"/>
  <c r="B379" i="1"/>
  <c r="B380" i="1"/>
  <c r="C380" i="1" s="1"/>
  <c r="B381" i="1"/>
  <c r="C381" i="1" s="1"/>
  <c r="B382" i="1"/>
  <c r="C382" i="1" s="1"/>
  <c r="B383" i="1"/>
  <c r="B384" i="1"/>
  <c r="C384" i="1" s="1"/>
  <c r="B385" i="1"/>
  <c r="C385" i="1" s="1"/>
  <c r="B386" i="1"/>
  <c r="C386" i="1" s="1"/>
  <c r="B387" i="1"/>
  <c r="C363" i="1"/>
  <c r="C367" i="1"/>
  <c r="C371" i="1"/>
  <c r="C375" i="1"/>
  <c r="C379" i="1"/>
  <c r="C383" i="1"/>
  <c r="C387" i="1"/>
  <c r="B291" i="1"/>
  <c r="B292" i="1"/>
  <c r="C292" i="1" s="1"/>
  <c r="B293" i="1"/>
  <c r="B294" i="1"/>
  <c r="C294" i="1" s="1"/>
  <c r="B295" i="1"/>
  <c r="B296" i="1"/>
  <c r="C296" i="1" s="1"/>
  <c r="B297" i="1"/>
  <c r="C297" i="1" s="1"/>
  <c r="B298" i="1"/>
  <c r="C298" i="1" s="1"/>
  <c r="B299" i="1"/>
  <c r="B300" i="1"/>
  <c r="B301" i="1"/>
  <c r="C301" i="1" s="1"/>
  <c r="B302" i="1"/>
  <c r="C302" i="1" s="1"/>
  <c r="B303" i="1"/>
  <c r="B304" i="1"/>
  <c r="C304" i="1" s="1"/>
  <c r="B305" i="1"/>
  <c r="B306" i="1"/>
  <c r="C306" i="1" s="1"/>
  <c r="B307" i="1"/>
  <c r="B308" i="1"/>
  <c r="C308" i="1" s="1"/>
  <c r="B309" i="1"/>
  <c r="C309" i="1" s="1"/>
  <c r="B310" i="1"/>
  <c r="C310" i="1" s="1"/>
  <c r="B311" i="1"/>
  <c r="B312" i="1"/>
  <c r="B313" i="1"/>
  <c r="C313" i="1" s="1"/>
  <c r="B314" i="1"/>
  <c r="C314" i="1" s="1"/>
  <c r="B315" i="1"/>
  <c r="B316" i="1"/>
  <c r="C316" i="1" s="1"/>
  <c r="B317" i="1"/>
  <c r="C317" i="1" s="1"/>
  <c r="B318" i="1"/>
  <c r="C318" i="1" s="1"/>
  <c r="B319" i="1"/>
  <c r="B320" i="1"/>
  <c r="C320" i="1" s="1"/>
  <c r="B321" i="1"/>
  <c r="C321" i="1" s="1"/>
  <c r="B322" i="1"/>
  <c r="C322" i="1" s="1"/>
  <c r="B323" i="1"/>
  <c r="B324" i="1"/>
  <c r="C324" i="1" s="1"/>
  <c r="B325" i="1"/>
  <c r="C325" i="1" s="1"/>
  <c r="B326" i="1"/>
  <c r="C326" i="1" s="1"/>
  <c r="B327" i="1"/>
  <c r="B328" i="1"/>
  <c r="B329" i="1"/>
  <c r="C329" i="1" s="1"/>
  <c r="B330" i="1"/>
  <c r="C330" i="1" s="1"/>
  <c r="B331" i="1"/>
  <c r="B332" i="1"/>
  <c r="C332" i="1" s="1"/>
  <c r="B333" i="1"/>
  <c r="C333" i="1" s="1"/>
  <c r="B334" i="1"/>
  <c r="C334" i="1" s="1"/>
  <c r="B335" i="1"/>
  <c r="B336" i="1"/>
  <c r="C336" i="1" s="1"/>
  <c r="B337" i="1"/>
  <c r="C337" i="1" s="1"/>
  <c r="B338" i="1"/>
  <c r="C338" i="1" s="1"/>
  <c r="B339" i="1"/>
  <c r="B340" i="1"/>
  <c r="C340" i="1" s="1"/>
  <c r="B341" i="1"/>
  <c r="C341" i="1" s="1"/>
  <c r="B342" i="1"/>
  <c r="C342" i="1" s="1"/>
  <c r="B343" i="1"/>
  <c r="B344" i="1"/>
  <c r="B345" i="1"/>
  <c r="C345" i="1" s="1"/>
  <c r="B346" i="1"/>
  <c r="C346" i="1" s="1"/>
  <c r="B347" i="1"/>
  <c r="B348" i="1"/>
  <c r="C348" i="1" s="1"/>
  <c r="B349" i="1"/>
  <c r="C349" i="1" s="1"/>
  <c r="B350" i="1"/>
  <c r="C350" i="1" s="1"/>
  <c r="B351" i="1"/>
  <c r="B352" i="1"/>
  <c r="C352" i="1" s="1"/>
  <c r="B353" i="1"/>
  <c r="C353" i="1" s="1"/>
  <c r="B354" i="1"/>
  <c r="C354" i="1" s="1"/>
  <c r="B355" i="1"/>
  <c r="B356" i="1"/>
  <c r="C356" i="1" s="1"/>
  <c r="B357" i="1"/>
  <c r="C357" i="1" s="1"/>
  <c r="B358" i="1"/>
  <c r="C358" i="1" s="1"/>
  <c r="B359" i="1"/>
  <c r="B360" i="1"/>
  <c r="C291" i="1"/>
  <c r="C293" i="1"/>
  <c r="C295" i="1"/>
  <c r="C299" i="1"/>
  <c r="C300" i="1"/>
  <c r="C303" i="1"/>
  <c r="C305" i="1"/>
  <c r="C307" i="1"/>
  <c r="C311" i="1"/>
  <c r="C312" i="1"/>
  <c r="C315" i="1"/>
  <c r="C319" i="1"/>
  <c r="C323" i="1"/>
  <c r="C327" i="1"/>
  <c r="C328" i="1"/>
  <c r="C331" i="1"/>
  <c r="C335" i="1"/>
  <c r="C339" i="1"/>
  <c r="C343" i="1"/>
  <c r="C344" i="1"/>
  <c r="C347" i="1"/>
  <c r="C351" i="1"/>
  <c r="C355" i="1"/>
  <c r="C359" i="1"/>
  <c r="C360" i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B259" i="1"/>
  <c r="C259" i="1" s="1"/>
  <c r="B260" i="1"/>
  <c r="C260" i="1" s="1"/>
  <c r="B261" i="1"/>
  <c r="B262" i="1"/>
  <c r="C262" i="1" s="1"/>
  <c r="B263" i="1"/>
  <c r="C263" i="1" s="1"/>
  <c r="B264" i="1"/>
  <c r="C264" i="1" s="1"/>
  <c r="B265" i="1"/>
  <c r="C265" i="1" s="1"/>
  <c r="B266" i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B274" i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50" i="1"/>
  <c r="C258" i="1"/>
  <c r="C261" i="1"/>
  <c r="C266" i="1"/>
  <c r="C273" i="1"/>
  <c r="C274" i="1"/>
  <c r="C282" i="1"/>
  <c r="C290" i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04" i="1"/>
  <c r="C212" i="1"/>
  <c r="C220" i="1"/>
  <c r="C228" i="1"/>
  <c r="C236" i="1"/>
  <c r="C244" i="1"/>
  <c r="B166" i="1"/>
  <c r="B167" i="1"/>
  <c r="B168" i="1"/>
  <c r="B169" i="1"/>
  <c r="B170" i="1"/>
  <c r="B171" i="1"/>
  <c r="B172" i="1"/>
  <c r="B173" i="1"/>
  <c r="B174" i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B197" i="1"/>
  <c r="C197" i="1" s="1"/>
  <c r="C166" i="1"/>
  <c r="C167" i="1"/>
  <c r="C168" i="1"/>
  <c r="C169" i="1"/>
  <c r="C170" i="1"/>
  <c r="C171" i="1"/>
  <c r="C172" i="1"/>
  <c r="C173" i="1"/>
  <c r="C174" i="1"/>
  <c r="C196" i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0" i="1"/>
  <c r="C110" i="1" s="1"/>
  <c r="B109" i="1"/>
  <c r="C109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43" i="1"/>
  <c r="Q18" i="1"/>
  <c r="V4" i="1"/>
  <c r="S4" i="1"/>
  <c r="B87" i="1"/>
  <c r="N45" i="1"/>
  <c r="O89" i="1"/>
  <c r="N87" i="1"/>
  <c r="N88" i="1" s="1"/>
  <c r="N89" i="1" s="1"/>
  <c r="M87" i="1"/>
  <c r="O87" i="1"/>
  <c r="O48" i="1"/>
  <c r="N43" i="1"/>
  <c r="N44" i="1" s="1"/>
  <c r="O4" i="1"/>
  <c r="O43" i="1" l="1"/>
  <c r="Q21" i="1" s="1"/>
  <c r="S21" i="1" s="1"/>
  <c r="O88" i="1"/>
  <c r="O44" i="1" l="1"/>
  <c r="O45" i="1" s="1"/>
</calcChain>
</file>

<file path=xl/sharedStrings.xml><?xml version="1.0" encoding="utf-8"?>
<sst xmlns="http://schemas.openxmlformats.org/spreadsheetml/2006/main" count="51" uniqueCount="27">
  <si>
    <t>Update1_1</t>
  </si>
  <si>
    <t>assemble</t>
  </si>
  <si>
    <t>setup</t>
  </si>
  <si>
    <t>solve</t>
  </si>
  <si>
    <t>assem+set</t>
  </si>
  <si>
    <t>iter</t>
  </si>
  <si>
    <t>skip</t>
  </si>
  <si>
    <t>average</t>
  </si>
  <si>
    <t>divide</t>
  </si>
  <si>
    <t>Update2_1</t>
  </si>
  <si>
    <t>percentage</t>
  </si>
  <si>
    <t>update1_2</t>
  </si>
  <si>
    <t>update1_3</t>
  </si>
  <si>
    <t>x</t>
  </si>
  <si>
    <t>rad(x)</t>
  </si>
  <si>
    <t>sin(rad(x))</t>
  </si>
  <si>
    <t>same solve time</t>
  </si>
  <si>
    <t>solve time:</t>
  </si>
  <si>
    <t>assem+set: average of 3 updates for the first step</t>
  </si>
  <si>
    <t xml:space="preserve">setup time: new / orig = </t>
  </si>
  <si>
    <t>change:</t>
  </si>
  <si>
    <t>almost the same</t>
  </si>
  <si>
    <t>use the setup time of the previous experiment to be ble to compare the change:</t>
  </si>
  <si>
    <t>&lt;=</t>
  </si>
  <si>
    <t>worse case solve time</t>
  </si>
  <si>
    <t>update1</t>
  </si>
  <si>
    <t>update2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</si>
</sst>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sz val="10"/>
      <color rgb="FF800000"/>
      <name val="Arial"/>
      <family val="2"/>
    </font>
    <font>
      <sz val="10"/>
      <color rgb="FFFF0000"/>
      <name val="Arial"/>
      <family val="2"/>
    </font>
    <font>
      <sz val="10"/>
      <color rgb="FF2F2F2F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1" fontId="2" fillId="0" borderId="0" xfId="0" applyNumberFormat="1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5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Sheet1!$B$48:$B$86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48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48</c:v>
                </c:pt>
                <c:pt idx="12">
                  <c:v>48</c:v>
                </c:pt>
                <c:pt idx="13">
                  <c:v>47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47</c:v>
                </c:pt>
                <c:pt idx="33">
                  <c:v>46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6-46D8-8670-68A26D7F7B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7669560"/>
        <c:axId val="597670544"/>
      </c:lineChart>
      <c:catAx>
        <c:axId val="597669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97670544"/>
        <c:crosses val="autoZero"/>
        <c:auto val="1"/>
        <c:lblAlgn val="ctr"/>
        <c:lblOffset val="100"/>
        <c:noMultiLvlLbl val="0"/>
      </c:catAx>
      <c:valAx>
        <c:axId val="597670544"/>
        <c:scaling>
          <c:orientation val="minMax"/>
          <c:max val="5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1.5777399527392346E-2"/>
              <c:y val="0.21829345793437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69560"/>
        <c:crosses val="autoZero"/>
        <c:crossBetween val="between"/>
        <c:majorUnit val="1"/>
        <c:min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5917474480988"/>
          <c:y val="3.8028020887632949E-2"/>
          <c:w val="0.8472016333162677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22-4F87-8672-E1387CF52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Sheet1!$B$4:$B$42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48</c:v>
                </c:pt>
                <c:pt idx="6">
                  <c:v>48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47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47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A1-41FD-8E12-57D0D52271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7669560"/>
        <c:axId val="597670544"/>
      </c:lineChart>
      <c:catAx>
        <c:axId val="597669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97670544"/>
        <c:crosses val="autoZero"/>
        <c:auto val="1"/>
        <c:lblAlgn val="ctr"/>
        <c:lblOffset val="100"/>
        <c:noMultiLvlLbl val="0"/>
      </c:catAx>
      <c:valAx>
        <c:axId val="597670544"/>
        <c:scaling>
          <c:orientation val="minMax"/>
          <c:max val="5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1.5777399527392346E-2"/>
              <c:y val="0.21829345793437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69560"/>
        <c:crosses val="autoZero"/>
        <c:crossBetween val="between"/>
        <c:majorUnit val="1"/>
        <c:min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5917474480988"/>
          <c:y val="3.8028020887632949E-2"/>
          <c:w val="0.8472016333162677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2-4C2C-AB6A-51A4F517C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Sheet1!$G$123:$G$160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122</c:v>
                </c:pt>
                <c:pt idx="28">
                  <c:v>122</c:v>
                </c:pt>
                <c:pt idx="29">
                  <c:v>122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115</c:v>
                </c:pt>
                <c:pt idx="35">
                  <c:v>114</c:v>
                </c:pt>
                <c:pt idx="36">
                  <c:v>114</c:v>
                </c:pt>
                <c:pt idx="37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4-4826-AECC-BA1F50890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06840"/>
        <c:axId val="535809464"/>
      </c:lineChart>
      <c:catAx>
        <c:axId val="535806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35809464"/>
        <c:crosses val="autoZero"/>
        <c:auto val="1"/>
        <c:lblAlgn val="ctr"/>
        <c:lblOffset val="100"/>
        <c:noMultiLvlLbl val="0"/>
      </c:catAx>
      <c:valAx>
        <c:axId val="535809464"/>
        <c:scaling>
          <c:orientation val="minMax"/>
          <c:max val="122"/>
          <c:min val="1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Iteration Number</a:t>
                </a:r>
              </a:p>
            </c:rich>
          </c:tx>
          <c:layout>
            <c:manualLayout>
              <c:xMode val="edge"/>
              <c:yMode val="edge"/>
              <c:x val="1.2135052459801969E-2"/>
              <c:y val="0.22702525949911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068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23456546266949"/>
          <c:y val="4.5864065066333649E-2"/>
          <c:w val="0.8639252761591802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A-4197-BEE2-D7CA01A1A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Sheet1!$P$123:$P$160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113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121</c:v>
                </c:pt>
                <c:pt idx="28">
                  <c:v>121</c:v>
                </c:pt>
                <c:pt idx="29">
                  <c:v>121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114</c:v>
                </c:pt>
                <c:pt idx="35">
                  <c:v>114</c:v>
                </c:pt>
                <c:pt idx="36">
                  <c:v>113</c:v>
                </c:pt>
                <c:pt idx="37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6-4CD6-B66F-992AFDD5A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06840"/>
        <c:axId val="535809464"/>
      </c:lineChart>
      <c:catAx>
        <c:axId val="535806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35809464"/>
        <c:crosses val="autoZero"/>
        <c:auto val="1"/>
        <c:lblAlgn val="ctr"/>
        <c:lblOffset val="100"/>
        <c:noMultiLvlLbl val="0"/>
      </c:catAx>
      <c:valAx>
        <c:axId val="535809464"/>
        <c:scaling>
          <c:orientation val="minMax"/>
          <c:min val="1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Iteration Number</a:t>
                </a:r>
              </a:p>
            </c:rich>
          </c:tx>
          <c:layout>
            <c:manualLayout>
              <c:xMode val="edge"/>
              <c:yMode val="edge"/>
              <c:x val="1.2135004608259777E-2"/>
              <c:y val="0.222681319312781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068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23456546266949"/>
          <c:y val="4.5864065066333649E-2"/>
          <c:w val="0.8639252761591802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A-4ED3-AA99-233A4891E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339970</xdr:colOff>
      <xdr:row>53</xdr:row>
      <xdr:rowOff>121920</xdr:rowOff>
    </xdr:from>
    <xdr:to>
      <xdr:col>10</xdr:col>
      <xdr:colOff>410308</xdr:colOff>
      <xdr:row>80</xdr:row>
      <xdr:rowOff>13252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1FE6C174-59E5-4650-A258-132E806B6A30}"/>
            </a:ext>
          </a:extLst>
        </xdr:cNvPr>
        <xdr:cNvGrpSpPr/>
      </xdr:nvGrpSpPr>
      <xdr:grpSpPr>
        <a:xfrm>
          <a:off x="1886382" y="8481508"/>
          <a:ext cx="6278397" cy="4127156"/>
          <a:chOff x="1930231" y="8954494"/>
          <a:chExt cx="6457886" cy="4363941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0FE366A-3063-4D62-ADE9-0EDD82741157}"/>
              </a:ext>
            </a:extLst>
          </xdr:cNvPr>
          <xdr:cNvGraphicFramePr>
            <a:graphicFrameLocks/>
          </xdr:cNvGraphicFramePr>
        </xdr:nvGraphicFramePr>
        <xdr:xfrm>
          <a:off x="1931083" y="8954494"/>
          <a:ext cx="6456819" cy="27073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DB8B30C0-A286-4629-983D-0885973FC711}"/>
              </a:ext>
            </a:extLst>
          </xdr:cNvPr>
          <xdr:cNvGraphicFramePr>
            <a:graphicFrameLocks/>
          </xdr:cNvGraphicFramePr>
        </xdr:nvGraphicFramePr>
        <xdr:xfrm>
          <a:off x="1930231" y="11661556"/>
          <a:ext cx="6457886" cy="16568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541020</xdr:colOff>
      <xdr:row>3</xdr:row>
      <xdr:rowOff>101710</xdr:rowOff>
    </xdr:from>
    <xdr:to>
      <xdr:col>10</xdr:col>
      <xdr:colOff>611948</xdr:colOff>
      <xdr:row>29</xdr:row>
      <xdr:rowOff>153257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3A9A7ED-F0EB-42D0-80C7-912A6E5E8322}"/>
            </a:ext>
          </a:extLst>
        </xdr:cNvPr>
        <xdr:cNvGrpSpPr/>
      </xdr:nvGrpSpPr>
      <xdr:grpSpPr>
        <a:xfrm>
          <a:off x="2087432" y="572357"/>
          <a:ext cx="6278987" cy="4130488"/>
          <a:chOff x="2232660" y="2547730"/>
          <a:chExt cx="6441248" cy="4410187"/>
        </a:xfrm>
      </xdr:grpSpPr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853E591E-8BB0-4CFA-9924-53866D537C8D}"/>
              </a:ext>
            </a:extLst>
          </xdr:cNvPr>
          <xdr:cNvGraphicFramePr>
            <a:graphicFrameLocks/>
          </xdr:cNvGraphicFramePr>
        </xdr:nvGraphicFramePr>
        <xdr:xfrm>
          <a:off x="2234317" y="2547730"/>
          <a:ext cx="6439591" cy="27391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A628F847-52DD-4053-B565-CC37FAAA2565}"/>
              </a:ext>
            </a:extLst>
          </xdr:cNvPr>
          <xdr:cNvGraphicFramePr>
            <a:graphicFrameLocks/>
          </xdr:cNvGraphicFramePr>
        </xdr:nvGraphicFramePr>
        <xdr:xfrm>
          <a:off x="2232660" y="5280660"/>
          <a:ext cx="6440658" cy="16772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oneCell">
    <xdr:from>
      <xdr:col>1</xdr:col>
      <xdr:colOff>769620</xdr:colOff>
      <xdr:row>26</xdr:row>
      <xdr:rowOff>124570</xdr:rowOff>
    </xdr:from>
    <xdr:to>
      <xdr:col>10</xdr:col>
      <xdr:colOff>63044</xdr:colOff>
      <xdr:row>52</xdr:row>
      <xdr:rowOff>140193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FFC0D2D-EB1E-44E5-BD79-4EA58DF15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2100" y="4483210"/>
          <a:ext cx="6456224" cy="4419983"/>
        </a:xfrm>
        <a:prstGeom prst="rect">
          <a:avLst/>
        </a:prstGeom>
      </xdr:spPr>
    </xdr:pic>
    <xdr:clientData/>
  </xdr:twoCellAnchor>
  <xdr:twoCellAnchor editAs="oneCell">
    <xdr:from>
      <xdr:col>2</xdr:col>
      <xdr:colOff>50410</xdr:colOff>
      <xdr:row>87</xdr:row>
      <xdr:rowOff>121920</xdr:rowOff>
    </xdr:from>
    <xdr:to>
      <xdr:col>10</xdr:col>
      <xdr:colOff>130217</xdr:colOff>
      <xdr:row>114</xdr:row>
      <xdr:rowOff>27816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B5275AA-48CA-44D9-A305-1632032AF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35370" y="14752320"/>
          <a:ext cx="6450127" cy="4432176"/>
        </a:xfrm>
        <a:prstGeom prst="rect">
          <a:avLst/>
        </a:prstGeom>
      </xdr:spPr>
    </xdr:pic>
    <xdr:clientData/>
  </xdr:twoCellAnchor>
  <xdr:twoCellAnchor>
    <xdr:from>
      <xdr:col>1</xdr:col>
      <xdr:colOff>361950</xdr:colOff>
      <xdr:row>166</xdr:row>
      <xdr:rowOff>85725</xdr:rowOff>
    </xdr:from>
    <xdr:to>
      <xdr:col>12</xdr:col>
      <xdr:colOff>219075</xdr:colOff>
      <xdr:row>195</xdr:row>
      <xdr:rowOff>20546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3F47961-026C-4848-A801-B3455CC9965E}"/>
            </a:ext>
          </a:extLst>
        </xdr:cNvPr>
        <xdr:cNvGrpSpPr/>
      </xdr:nvGrpSpPr>
      <xdr:grpSpPr>
        <a:xfrm>
          <a:off x="1135156" y="26173019"/>
          <a:ext cx="8384801" cy="4484409"/>
          <a:chOff x="1135156" y="26173019"/>
          <a:chExt cx="8384801" cy="4484409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89BFA9FE-BC2B-489B-B63B-247529C0BE69}"/>
              </a:ext>
            </a:extLst>
          </xdr:cNvPr>
          <xdr:cNvGraphicFramePr/>
        </xdr:nvGraphicFramePr>
        <xdr:xfrm>
          <a:off x="1135156" y="26173019"/>
          <a:ext cx="8384801" cy="29236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8C555E72-A1A2-4BD6-928F-1B0AD8DAC835}"/>
              </a:ext>
            </a:extLst>
          </xdr:cNvPr>
          <xdr:cNvGraphicFramePr>
            <a:graphicFrameLocks/>
          </xdr:cNvGraphicFramePr>
        </xdr:nvGraphicFramePr>
        <xdr:xfrm>
          <a:off x="1144681" y="29087109"/>
          <a:ext cx="8365751" cy="15703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13</xdr:col>
      <xdr:colOff>9525</xdr:colOff>
      <xdr:row>166</xdr:row>
      <xdr:rowOff>93569</xdr:rowOff>
    </xdr:from>
    <xdr:to>
      <xdr:col>23</xdr:col>
      <xdr:colOff>666750</xdr:colOff>
      <xdr:row>195</xdr:row>
      <xdr:rowOff>46319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0AFE7E1-6B42-4641-860E-65C8E30CBC6D}"/>
            </a:ext>
          </a:extLst>
        </xdr:cNvPr>
        <xdr:cNvGrpSpPr/>
      </xdr:nvGrpSpPr>
      <xdr:grpSpPr>
        <a:xfrm>
          <a:off x="10083613" y="26180863"/>
          <a:ext cx="8389284" cy="4502338"/>
          <a:chOff x="10083613" y="26180863"/>
          <a:chExt cx="8389284" cy="4502338"/>
        </a:xfrm>
      </xdr:grpSpPr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E37C4C11-FF84-4C18-823B-9FA9AC109F43}"/>
              </a:ext>
            </a:extLst>
          </xdr:cNvPr>
          <xdr:cNvGraphicFramePr>
            <a:graphicFrameLocks/>
          </xdr:cNvGraphicFramePr>
        </xdr:nvGraphicFramePr>
        <xdr:xfrm>
          <a:off x="10083613" y="26180863"/>
          <a:ext cx="8389284" cy="29236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Chart 16">
            <a:extLst>
              <a:ext uri="{FF2B5EF4-FFF2-40B4-BE49-F238E27FC236}">
                <a16:creationId xmlns:a16="http://schemas.microsoft.com/office/drawing/2014/main" id="{156A30AF-5A04-47BA-8E7D-6D2EC272CBAD}"/>
              </a:ext>
            </a:extLst>
          </xdr:cNvPr>
          <xdr:cNvGraphicFramePr>
            <a:graphicFrameLocks/>
          </xdr:cNvGraphicFramePr>
        </xdr:nvGraphicFramePr>
        <xdr:xfrm>
          <a:off x="10096500" y="29112882"/>
          <a:ext cx="8365751" cy="15703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0AF709-AF37-4FB0-B123-D610A4ECAEB0}" name="Table1" displayName="Table1" ref="A92:C452" totalsRowShown="0" headerRowDxfId="4" dataDxfId="3">
  <autoFilter ref="A92:C452" xr:uid="{53049C0A-5289-4B08-AE9B-3AB0CC8B3D3E}"/>
  <tableColumns count="3">
    <tableColumn id="1" xr3:uid="{143A2DC8-2D1D-40FE-A610-11CDE8977CBF}" name="x" dataDxfId="2"/>
    <tableColumn id="2" xr3:uid="{E4205727-6004-414E-B0F2-1041B4A4195E}" name="rad(x)" dataDxfId="1">
      <calculatedColumnFormula>RADIANS(Table1[[#This Row],[x]])</calculatedColumnFormula>
    </tableColumn>
    <tableColumn id="3" xr3:uid="{361F38CD-E827-4201-8CD9-763DD871E70F}" name="sin(rad(x))" dataDxfId="0">
      <calculatedColumnFormula>SIN(B93)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V452"/>
  <sheetViews>
    <sheetView tabSelected="1" topLeftCell="A156" zoomScale="85" zoomScaleNormal="85" workbookViewId="0">
      <selection activeCell="O203" sqref="O203"/>
    </sheetView>
  </sheetViews>
  <sheetFormatPr defaultRowHeight="12.75" x14ac:dyDescent="0.2"/>
  <cols>
    <col min="1" max="2" width="11.5703125"/>
    <col min="3" max="3" width="12" customWidth="1"/>
    <col min="4" max="15" width="11.5703125"/>
    <col min="16" max="16" width="11.5703125" style="1"/>
    <col min="17" max="1025" width="11.5703125"/>
  </cols>
  <sheetData>
    <row r="2" spans="1:22" x14ac:dyDescent="0.2">
      <c r="A2" t="s">
        <v>0</v>
      </c>
      <c r="K2" s="1"/>
      <c r="L2" s="1"/>
      <c r="M2" s="1"/>
      <c r="N2" s="1"/>
      <c r="O2" s="1"/>
      <c r="Q2" s="1" t="s">
        <v>11</v>
      </c>
      <c r="T2" s="1" t="s">
        <v>12</v>
      </c>
    </row>
    <row r="3" spans="1:22" x14ac:dyDescent="0.2">
      <c r="K3" s="1"/>
      <c r="L3" s="1" t="s">
        <v>1</v>
      </c>
      <c r="M3" s="1" t="s">
        <v>2</v>
      </c>
      <c r="N3" s="2" t="s">
        <v>3</v>
      </c>
      <c r="O3" s="2" t="s">
        <v>4</v>
      </c>
      <c r="Q3" s="1" t="s">
        <v>1</v>
      </c>
      <c r="R3" s="1" t="s">
        <v>2</v>
      </c>
      <c r="S3" s="2" t="s">
        <v>4</v>
      </c>
      <c r="T3" s="1" t="s">
        <v>1</v>
      </c>
      <c r="U3" s="1" t="s">
        <v>2</v>
      </c>
      <c r="V3" s="2" t="s">
        <v>4</v>
      </c>
    </row>
    <row r="4" spans="1:22" x14ac:dyDescent="0.2">
      <c r="A4" t="s">
        <v>5</v>
      </c>
      <c r="B4">
        <v>45</v>
      </c>
      <c r="K4" s="1"/>
      <c r="L4" s="1">
        <v>7.2480199999999995E-2</v>
      </c>
      <c r="M4" s="1">
        <v>0.51202400000000003</v>
      </c>
      <c r="N4" s="2">
        <v>0.63007199999999997</v>
      </c>
      <c r="O4" s="2">
        <f>SUM(L4,M4)</f>
        <v>0.58450420000000003</v>
      </c>
      <c r="Q4">
        <v>7.2506000000000001E-2</v>
      </c>
      <c r="R4">
        <v>0.53722300000000001</v>
      </c>
      <c r="S4">
        <f>Q4+R4</f>
        <v>0.60972899999999997</v>
      </c>
      <c r="T4">
        <v>7.2397199999999995E-2</v>
      </c>
      <c r="U4">
        <v>0.53781100000000004</v>
      </c>
      <c r="V4">
        <f>T4+U4</f>
        <v>0.61020819999999998</v>
      </c>
    </row>
    <row r="5" spans="1:22" x14ac:dyDescent="0.2">
      <c r="B5">
        <v>45</v>
      </c>
      <c r="K5" s="1"/>
      <c r="L5" s="1">
        <v>6.4150499999999999E-2</v>
      </c>
      <c r="M5" s="3">
        <v>5.5122399999999999E-5</v>
      </c>
      <c r="N5" s="1">
        <v>0.62188600000000005</v>
      </c>
      <c r="O5" s="1"/>
    </row>
    <row r="6" spans="1:22" x14ac:dyDescent="0.2">
      <c r="B6">
        <v>45</v>
      </c>
      <c r="K6" s="1"/>
      <c r="L6" s="1">
        <v>6.4240800000000001E-2</v>
      </c>
      <c r="M6" s="3">
        <v>3.4809099999999998E-6</v>
      </c>
      <c r="N6" s="1">
        <v>0.61091899999999999</v>
      </c>
    </row>
    <row r="7" spans="1:22" x14ac:dyDescent="0.2">
      <c r="B7">
        <v>45</v>
      </c>
      <c r="K7" s="1"/>
      <c r="L7" s="1">
        <v>6.5301300000000007E-2</v>
      </c>
      <c r="M7" s="3">
        <v>3.9100599999999998E-6</v>
      </c>
      <c r="N7" s="1">
        <v>0.62360899999999997</v>
      </c>
    </row>
    <row r="8" spans="1:22" x14ac:dyDescent="0.2">
      <c r="B8">
        <v>46</v>
      </c>
      <c r="K8" s="1"/>
      <c r="L8" s="1">
        <v>6.4194500000000002E-2</v>
      </c>
      <c r="M8" s="3">
        <v>3.0517599999999999E-6</v>
      </c>
      <c r="N8" s="1">
        <v>0.653003</v>
      </c>
      <c r="O8" s="1"/>
    </row>
    <row r="9" spans="1:22" x14ac:dyDescent="0.2">
      <c r="B9">
        <v>48</v>
      </c>
      <c r="K9" s="1"/>
      <c r="L9" s="1">
        <v>6.3839999999999994E-2</v>
      </c>
      <c r="M9" s="3">
        <v>3.5762799999999998E-6</v>
      </c>
      <c r="N9" s="1">
        <v>0.65676299999999999</v>
      </c>
      <c r="O9" s="1"/>
    </row>
    <row r="10" spans="1:22" x14ac:dyDescent="0.2">
      <c r="B10">
        <v>48</v>
      </c>
      <c r="K10" s="1"/>
      <c r="L10" s="1">
        <v>6.5084500000000003E-2</v>
      </c>
      <c r="M10" s="3">
        <v>7.0571900000000001E-6</v>
      </c>
      <c r="N10" s="1">
        <v>0.65436000000000005</v>
      </c>
      <c r="O10" s="1"/>
    </row>
    <row r="11" spans="1:22" x14ac:dyDescent="0.2">
      <c r="B11">
        <v>49</v>
      </c>
      <c r="K11" s="1"/>
      <c r="L11" s="5">
        <v>6.4047099999999996E-2</v>
      </c>
      <c r="M11" s="10">
        <v>3.0994400000000002E-6</v>
      </c>
      <c r="N11" s="5">
        <v>0.66679900000000003</v>
      </c>
      <c r="O11" s="11">
        <f>L11+M11</f>
        <v>6.4050199439999997E-2</v>
      </c>
      <c r="P11" s="1" t="s">
        <v>23</v>
      </c>
      <c r="Q11" s="9" t="s">
        <v>24</v>
      </c>
      <c r="R11">
        <f>N11/N4</f>
        <v>1.0582901636638353</v>
      </c>
    </row>
    <row r="12" spans="1:22" x14ac:dyDescent="0.2">
      <c r="B12">
        <v>49</v>
      </c>
      <c r="K12" s="1"/>
      <c r="L12" s="1">
        <v>5.9509699999999999E-2</v>
      </c>
      <c r="M12" s="3">
        <v>3.1948100000000002E-6</v>
      </c>
      <c r="N12" s="1">
        <v>0.63700199999999996</v>
      </c>
      <c r="O12" s="1"/>
    </row>
    <row r="13" spans="1:22" x14ac:dyDescent="0.2">
      <c r="B13">
        <v>49</v>
      </c>
      <c r="K13" s="1"/>
      <c r="L13" s="1">
        <v>6.3817499999999999E-2</v>
      </c>
      <c r="M13" s="3">
        <v>4.7683700000000004E-6</v>
      </c>
      <c r="N13" s="1">
        <v>0.60355099999999995</v>
      </c>
      <c r="O13" s="1"/>
    </row>
    <row r="14" spans="1:22" x14ac:dyDescent="0.2">
      <c r="B14">
        <v>49</v>
      </c>
      <c r="K14" s="1"/>
      <c r="L14" s="1">
        <v>6.08905E-2</v>
      </c>
      <c r="M14" s="3">
        <v>3.0517599999999999E-6</v>
      </c>
      <c r="N14" s="1">
        <v>0.57899299999999998</v>
      </c>
      <c r="O14" s="1"/>
    </row>
    <row r="15" spans="1:22" x14ac:dyDescent="0.2">
      <c r="B15">
        <v>49</v>
      </c>
      <c r="K15" s="1"/>
      <c r="L15" s="1">
        <v>7.0297799999999994E-2</v>
      </c>
      <c r="M15" s="3">
        <v>3.24249E-6</v>
      </c>
      <c r="N15" s="1">
        <v>0.65062699999999996</v>
      </c>
      <c r="O15" s="1"/>
    </row>
    <row r="16" spans="1:22" x14ac:dyDescent="0.2">
      <c r="B16">
        <v>48</v>
      </c>
      <c r="K16" s="1"/>
      <c r="L16" s="1">
        <v>6.4048599999999997E-2</v>
      </c>
      <c r="M16" s="3">
        <v>4.43459E-6</v>
      </c>
      <c r="N16" s="1">
        <v>0.65541000000000005</v>
      </c>
      <c r="O16" s="1"/>
    </row>
    <row r="17" spans="1:19" x14ac:dyDescent="0.2">
      <c r="B17">
        <v>48</v>
      </c>
      <c r="K17" s="1"/>
      <c r="L17" s="1">
        <v>6.3928399999999996E-2</v>
      </c>
      <c r="M17" s="3">
        <v>3.4809099999999998E-6</v>
      </c>
      <c r="N17" s="1">
        <v>0.65543399999999996</v>
      </c>
      <c r="O17" s="1"/>
      <c r="Q17" t="s">
        <v>18</v>
      </c>
    </row>
    <row r="18" spans="1:19" x14ac:dyDescent="0.2">
      <c r="B18">
        <v>46</v>
      </c>
      <c r="K18" s="1"/>
      <c r="L18" s="1">
        <v>6.3808699999999996E-2</v>
      </c>
      <c r="M18" s="3">
        <v>4.43459E-6</v>
      </c>
      <c r="N18" s="1">
        <v>0.55671599999999999</v>
      </c>
      <c r="O18" s="1"/>
      <c r="Q18">
        <f>(O4+S4+V4)/3</f>
        <v>0.60148046666666666</v>
      </c>
    </row>
    <row r="19" spans="1:19" x14ac:dyDescent="0.2">
      <c r="B19">
        <v>45</v>
      </c>
      <c r="K19" s="1"/>
      <c r="L19" s="1">
        <v>7.3296399999999998E-2</v>
      </c>
      <c r="M19" s="3">
        <v>3.1948100000000002E-6</v>
      </c>
      <c r="N19" s="3">
        <v>0.56352400000000002</v>
      </c>
      <c r="O19" s="1"/>
    </row>
    <row r="20" spans="1:19" x14ac:dyDescent="0.2">
      <c r="B20">
        <v>45</v>
      </c>
      <c r="K20" s="1"/>
      <c r="L20" s="1">
        <v>5.9700299999999998E-2</v>
      </c>
      <c r="M20" s="3">
        <v>3.0994400000000002E-6</v>
      </c>
      <c r="N20" s="1">
        <v>0.52444500000000005</v>
      </c>
      <c r="O20" s="1"/>
      <c r="P20" s="1" t="s">
        <v>17</v>
      </c>
      <c r="Q20" t="s">
        <v>16</v>
      </c>
    </row>
    <row r="21" spans="1:19" x14ac:dyDescent="0.2">
      <c r="B21">
        <v>45</v>
      </c>
      <c r="K21" s="1"/>
      <c r="L21" s="1">
        <v>5.97443E-2</v>
      </c>
      <c r="M21" s="3">
        <v>3.7193300000000001E-6</v>
      </c>
      <c r="N21" s="1">
        <v>0.59635499999999997</v>
      </c>
      <c r="O21" s="1"/>
      <c r="P21" s="8" t="s">
        <v>19</v>
      </c>
      <c r="Q21">
        <f>O43/Q18</f>
        <v>0.10608915352104223</v>
      </c>
      <c r="R21" s="1" t="s">
        <v>20</v>
      </c>
      <c r="S21">
        <f>1-Q21</f>
        <v>0.8939108464789578</v>
      </c>
    </row>
    <row r="22" spans="1:19" x14ac:dyDescent="0.2">
      <c r="B22">
        <v>45</v>
      </c>
      <c r="K22" s="1"/>
      <c r="L22" s="1">
        <v>6.4155000000000004E-2</v>
      </c>
      <c r="M22" s="3">
        <v>3.5285900000000001E-6</v>
      </c>
      <c r="N22" s="1">
        <v>0.61392500000000005</v>
      </c>
      <c r="O22" s="1"/>
    </row>
    <row r="23" spans="1:19" x14ac:dyDescent="0.2">
      <c r="A23" t="s">
        <v>6</v>
      </c>
      <c r="B23">
        <v>45</v>
      </c>
      <c r="K23" s="1"/>
      <c r="L23" s="1"/>
      <c r="M23" s="1"/>
      <c r="N23" s="1"/>
      <c r="O23" s="1"/>
    </row>
    <row r="24" spans="1:19" x14ac:dyDescent="0.2">
      <c r="B24">
        <v>45</v>
      </c>
      <c r="K24" s="1"/>
      <c r="L24" s="1">
        <v>6.42234E-2</v>
      </c>
      <c r="M24" s="3">
        <v>3.1471299999999999E-6</v>
      </c>
      <c r="N24" s="1">
        <v>0.59296700000000002</v>
      </c>
      <c r="O24" s="1"/>
    </row>
    <row r="25" spans="1:19" x14ac:dyDescent="0.2">
      <c r="B25">
        <v>45</v>
      </c>
      <c r="K25" s="1"/>
      <c r="L25" s="1">
        <v>7.1827199999999994E-2</v>
      </c>
      <c r="M25" s="3">
        <v>3.0994400000000002E-6</v>
      </c>
      <c r="N25" s="1">
        <v>0.615004</v>
      </c>
      <c r="O25" s="1"/>
    </row>
    <row r="26" spans="1:19" x14ac:dyDescent="0.2">
      <c r="B26">
        <v>45</v>
      </c>
      <c r="K26" s="1"/>
      <c r="L26" s="1">
        <v>6.4355899999999994E-2</v>
      </c>
      <c r="M26" s="3">
        <v>4.1961700000000002E-6</v>
      </c>
      <c r="N26" s="1">
        <v>0.52999099999999999</v>
      </c>
      <c r="O26" s="1"/>
      <c r="Q26" s="1">
        <v>6.4099999999999999E-3</v>
      </c>
    </row>
    <row r="27" spans="1:19" x14ac:dyDescent="0.2">
      <c r="B27">
        <v>45</v>
      </c>
      <c r="K27" s="1"/>
      <c r="L27" s="1">
        <v>5.9982899999999999E-2</v>
      </c>
      <c r="M27" s="3">
        <v>3.2901800000000002E-6</v>
      </c>
      <c r="N27" s="1">
        <v>0.524648</v>
      </c>
      <c r="O27" s="1"/>
    </row>
    <row r="28" spans="1:19" x14ac:dyDescent="0.2">
      <c r="B28">
        <v>45</v>
      </c>
      <c r="K28" s="1"/>
      <c r="L28" s="1">
        <v>5.9679400000000001E-2</v>
      </c>
      <c r="M28" s="3">
        <v>3.8623799999999999E-6</v>
      </c>
      <c r="N28" s="1">
        <v>0.58532600000000001</v>
      </c>
      <c r="O28" s="1"/>
    </row>
    <row r="29" spans="1:19" x14ac:dyDescent="0.2">
      <c r="B29">
        <v>47</v>
      </c>
      <c r="K29" s="1"/>
      <c r="L29" s="1">
        <v>6.4665E-2</v>
      </c>
      <c r="M29" s="3">
        <v>3.24249E-6</v>
      </c>
      <c r="N29" s="1">
        <v>0.59556299999999995</v>
      </c>
      <c r="O29" s="1"/>
    </row>
    <row r="30" spans="1:19" x14ac:dyDescent="0.2">
      <c r="B30">
        <v>48</v>
      </c>
      <c r="K30" s="1"/>
      <c r="L30" s="1">
        <v>5.9818799999999998E-2</v>
      </c>
      <c r="M30" s="3">
        <v>3.1471299999999999E-6</v>
      </c>
      <c r="N30" s="1">
        <v>0.561504</v>
      </c>
      <c r="O30" s="1"/>
    </row>
    <row r="31" spans="1:19" x14ac:dyDescent="0.2">
      <c r="B31">
        <v>48</v>
      </c>
      <c r="K31" s="1"/>
      <c r="L31" s="1">
        <v>5.9746199999999999E-2</v>
      </c>
      <c r="M31" s="3">
        <v>3.24249E-6</v>
      </c>
      <c r="N31" s="1">
        <v>0.55945800000000001</v>
      </c>
      <c r="O31" s="1"/>
    </row>
    <row r="32" spans="1:19" x14ac:dyDescent="0.2">
      <c r="B32">
        <v>48</v>
      </c>
      <c r="J32" s="1"/>
      <c r="K32" s="1"/>
      <c r="L32" s="1">
        <v>5.9704E-2</v>
      </c>
      <c r="M32" s="3">
        <v>3.1948100000000002E-6</v>
      </c>
      <c r="N32" s="1">
        <v>0.65567500000000001</v>
      </c>
      <c r="O32" s="1"/>
    </row>
    <row r="33" spans="1:15" x14ac:dyDescent="0.2">
      <c r="B33">
        <v>48</v>
      </c>
      <c r="J33" s="1"/>
      <c r="K33" s="1"/>
      <c r="L33" s="1">
        <v>6.4760700000000004E-2</v>
      </c>
      <c r="M33" s="3">
        <v>3.2901800000000002E-6</v>
      </c>
      <c r="N33" s="1">
        <v>0.68436300000000005</v>
      </c>
      <c r="O33" s="1"/>
    </row>
    <row r="34" spans="1:15" x14ac:dyDescent="0.2">
      <c r="B34">
        <v>48</v>
      </c>
      <c r="J34" s="1"/>
      <c r="K34" s="1"/>
      <c r="L34" s="1">
        <v>6.5257700000000002E-2</v>
      </c>
      <c r="M34" s="3">
        <v>4.0054300000000002E-6</v>
      </c>
      <c r="N34" s="1">
        <v>0.62776500000000002</v>
      </c>
      <c r="O34" s="1"/>
    </row>
    <row r="35" spans="1:15" x14ac:dyDescent="0.2">
      <c r="B35">
        <v>48</v>
      </c>
      <c r="J35" s="1"/>
      <c r="K35" s="1"/>
      <c r="L35" s="1">
        <v>6.1920500000000003E-2</v>
      </c>
      <c r="M35" s="3">
        <v>3.6239600000000001E-6</v>
      </c>
      <c r="N35" s="1">
        <v>0.62171600000000005</v>
      </c>
      <c r="O35" s="1"/>
    </row>
    <row r="36" spans="1:15" x14ac:dyDescent="0.2">
      <c r="B36">
        <v>48</v>
      </c>
      <c r="J36" s="1"/>
      <c r="K36" s="1"/>
      <c r="L36" s="1">
        <v>6.5708699999999995E-2</v>
      </c>
      <c r="M36" s="3">
        <v>4.1007999999999998E-6</v>
      </c>
      <c r="N36" s="1">
        <v>0.66027800000000003</v>
      </c>
      <c r="O36" s="1"/>
    </row>
    <row r="37" spans="1:15" x14ac:dyDescent="0.2">
      <c r="B37">
        <v>47</v>
      </c>
      <c r="J37" s="1"/>
      <c r="K37" s="1"/>
      <c r="L37" s="1">
        <v>6.6061999999999996E-2</v>
      </c>
      <c r="M37" s="3">
        <v>4.43459E-6</v>
      </c>
      <c r="N37" s="1">
        <v>0.65114499999999997</v>
      </c>
      <c r="O37" s="1"/>
    </row>
    <row r="38" spans="1:15" ht="14.25" x14ac:dyDescent="0.25">
      <c r="B38">
        <v>45</v>
      </c>
      <c r="E38" s="6"/>
      <c r="J38" s="1"/>
      <c r="K38" s="1"/>
      <c r="L38" s="1">
        <v>6.1054400000000002E-2</v>
      </c>
      <c r="M38" s="3">
        <v>3.33786E-6</v>
      </c>
      <c r="N38" s="1">
        <v>0.61983299999999997</v>
      </c>
      <c r="O38" s="1"/>
    </row>
    <row r="39" spans="1:15" x14ac:dyDescent="0.2">
      <c r="B39">
        <v>45</v>
      </c>
      <c r="J39" s="1"/>
      <c r="K39" s="1"/>
      <c r="L39" s="1">
        <v>6.5677399999999997E-2</v>
      </c>
      <c r="M39" s="3">
        <v>6.86646E-6</v>
      </c>
      <c r="N39" s="1">
        <v>0.61838199999999999</v>
      </c>
      <c r="O39" s="1"/>
    </row>
    <row r="40" spans="1:15" x14ac:dyDescent="0.2">
      <c r="B40">
        <v>45</v>
      </c>
      <c r="J40" s="1"/>
      <c r="K40" s="1"/>
      <c r="L40" s="1">
        <v>6.5240300000000001E-2</v>
      </c>
      <c r="M40" s="3">
        <v>5.7697300000000004E-6</v>
      </c>
      <c r="N40" s="1">
        <v>0.57805300000000004</v>
      </c>
      <c r="O40" s="1"/>
    </row>
    <row r="41" spans="1:15" ht="14.25" x14ac:dyDescent="0.25">
      <c r="B41">
        <v>45</v>
      </c>
      <c r="E41" s="6"/>
      <c r="J41" s="1"/>
      <c r="K41" s="1"/>
      <c r="L41" s="1">
        <v>6.1913299999999998E-2</v>
      </c>
      <c r="M41" s="3">
        <v>4.673E-6</v>
      </c>
      <c r="N41" s="1">
        <v>0.62110500000000002</v>
      </c>
      <c r="O41" s="1"/>
    </row>
    <row r="42" spans="1:15" x14ac:dyDescent="0.2">
      <c r="B42">
        <v>45</v>
      </c>
      <c r="J42" s="1"/>
      <c r="K42" s="1"/>
      <c r="L42" s="1">
        <v>6.5142900000000004E-2</v>
      </c>
      <c r="M42" s="3">
        <v>3.9100599999999998E-6</v>
      </c>
      <c r="N42" s="1">
        <v>0.62376600000000004</v>
      </c>
      <c r="O42" s="1"/>
    </row>
    <row r="43" spans="1:15" x14ac:dyDescent="0.2">
      <c r="A43" s="1" t="s">
        <v>7</v>
      </c>
      <c r="B43">
        <f>AVERAGE(B4:B42)</f>
        <v>46.512820512820511</v>
      </c>
      <c r="J43" s="1"/>
      <c r="K43" s="1" t="s">
        <v>7</v>
      </c>
      <c r="L43" s="1">
        <f>AVERAGE(L5:L42)</f>
        <v>6.3805313513513526E-2</v>
      </c>
      <c r="M43" s="3">
        <f>AVERAGE(M5:M42)</f>
        <v>5.2400545945945937E-6</v>
      </c>
      <c r="N43" s="2">
        <f>AVERAGE(N4,N42)</f>
        <v>0.626919</v>
      </c>
      <c r="O43" s="2">
        <f>SUM(L43,M43)</f>
        <v>6.3810553568108122E-2</v>
      </c>
    </row>
    <row r="44" spans="1:15" x14ac:dyDescent="0.2">
      <c r="J44" s="1"/>
      <c r="K44" s="1" t="s">
        <v>8</v>
      </c>
      <c r="L44" s="1"/>
      <c r="M44" s="1"/>
      <c r="N44" s="2">
        <f>N43/N4</f>
        <v>0.99499581000266646</v>
      </c>
      <c r="O44" s="2">
        <f>O43/O4</f>
        <v>0.1091703935884603</v>
      </c>
    </row>
    <row r="45" spans="1:15" x14ac:dyDescent="0.2">
      <c r="M45" s="1" t="s">
        <v>10</v>
      </c>
      <c r="N45" s="4">
        <f>1-N44</f>
        <v>5.0041899973335413E-3</v>
      </c>
      <c r="O45" s="4">
        <f>1-O44</f>
        <v>0.89082960641153974</v>
      </c>
    </row>
    <row r="47" spans="1:15" x14ac:dyDescent="0.2">
      <c r="A47" t="s">
        <v>9</v>
      </c>
      <c r="K47" s="1"/>
      <c r="L47" s="1" t="s">
        <v>1</v>
      </c>
      <c r="M47" s="1" t="s">
        <v>2</v>
      </c>
      <c r="N47" s="2" t="s">
        <v>3</v>
      </c>
      <c r="O47" s="2" t="s">
        <v>4</v>
      </c>
    </row>
    <row r="48" spans="1:15" x14ac:dyDescent="0.2">
      <c r="A48" t="s">
        <v>5</v>
      </c>
      <c r="B48">
        <v>45</v>
      </c>
      <c r="K48" s="1"/>
      <c r="L48" s="1">
        <v>8.8400500000000007E-2</v>
      </c>
      <c r="M48" s="1">
        <v>0.55892200000000003</v>
      </c>
      <c r="N48" s="2">
        <v>0.58491000000000004</v>
      </c>
      <c r="O48" s="2">
        <f>SUM(L48,M48)</f>
        <v>0.64732250000000002</v>
      </c>
    </row>
    <row r="49" spans="2:17" x14ac:dyDescent="0.2">
      <c r="B49">
        <v>45</v>
      </c>
      <c r="K49" s="1"/>
      <c r="L49" s="1">
        <v>5.9028499999999998E-2</v>
      </c>
      <c r="M49" s="1">
        <v>0.347001</v>
      </c>
      <c r="N49" s="1">
        <v>0.54202899999999998</v>
      </c>
      <c r="O49" s="1"/>
    </row>
    <row r="50" spans="2:17" x14ac:dyDescent="0.2">
      <c r="B50">
        <v>45</v>
      </c>
      <c r="K50" s="1"/>
      <c r="L50" s="1">
        <v>6.5468499999999999E-2</v>
      </c>
      <c r="M50" s="1">
        <v>0.36681399999999997</v>
      </c>
      <c r="N50" s="1">
        <v>0.58709999999999996</v>
      </c>
      <c r="O50" s="1"/>
    </row>
    <row r="51" spans="2:17" x14ac:dyDescent="0.2">
      <c r="B51">
        <v>45</v>
      </c>
      <c r="K51" s="1"/>
      <c r="L51" s="1">
        <v>6.2715800000000002E-2</v>
      </c>
      <c r="M51" s="1">
        <v>0.34381800000000001</v>
      </c>
      <c r="N51" s="1">
        <v>0.59962099999999996</v>
      </c>
      <c r="O51" s="1"/>
    </row>
    <row r="52" spans="2:17" x14ac:dyDescent="0.2">
      <c r="B52">
        <v>46</v>
      </c>
      <c r="K52" s="1"/>
      <c r="L52" s="1">
        <v>6.1977600000000001E-2</v>
      </c>
      <c r="M52" s="1">
        <v>0.34441100000000002</v>
      </c>
      <c r="N52" s="1">
        <v>0.61154399999999998</v>
      </c>
      <c r="O52" s="1"/>
    </row>
    <row r="53" spans="2:17" x14ac:dyDescent="0.2">
      <c r="B53">
        <v>47</v>
      </c>
      <c r="K53" s="1"/>
      <c r="L53" s="1">
        <v>6.2065700000000001E-2</v>
      </c>
      <c r="M53" s="1">
        <v>0.36313299999999998</v>
      </c>
      <c r="N53" s="1">
        <v>0.576816</v>
      </c>
      <c r="O53" s="1"/>
    </row>
    <row r="54" spans="2:17" x14ac:dyDescent="0.2">
      <c r="B54">
        <v>48</v>
      </c>
      <c r="K54" s="1"/>
      <c r="L54" s="1">
        <v>5.86087E-2</v>
      </c>
      <c r="M54" s="1">
        <v>0.30763600000000002</v>
      </c>
      <c r="N54" s="1">
        <v>0.60446200000000005</v>
      </c>
      <c r="O54" s="1"/>
    </row>
    <row r="55" spans="2:17" x14ac:dyDescent="0.2">
      <c r="B55">
        <v>48</v>
      </c>
      <c r="K55" s="1"/>
      <c r="L55" s="1">
        <v>6.0788000000000002E-2</v>
      </c>
      <c r="M55" s="1">
        <v>0.30446400000000001</v>
      </c>
      <c r="N55" s="1">
        <v>0.64521499999999998</v>
      </c>
      <c r="O55" s="1"/>
    </row>
    <row r="56" spans="2:17" x14ac:dyDescent="0.2">
      <c r="B56">
        <v>49</v>
      </c>
      <c r="K56" s="1"/>
      <c r="L56" s="5">
        <v>6.2432000000000001E-2</v>
      </c>
      <c r="M56" s="5">
        <v>0.351738</v>
      </c>
      <c r="N56" s="5">
        <v>0.65276500000000004</v>
      </c>
      <c r="O56">
        <f>L56+M56</f>
        <v>0.41416999999999998</v>
      </c>
      <c r="P56" s="1" t="s">
        <v>23</v>
      </c>
      <c r="Q56" s="9" t="s">
        <v>24</v>
      </c>
    </row>
    <row r="57" spans="2:17" x14ac:dyDescent="0.2">
      <c r="B57">
        <v>49</v>
      </c>
      <c r="K57" s="1"/>
      <c r="L57" s="1">
        <v>6.2207499999999999E-2</v>
      </c>
      <c r="M57" s="1">
        <v>0.37273499999999998</v>
      </c>
      <c r="N57" s="1">
        <v>0.62559699999999996</v>
      </c>
      <c r="O57" s="1"/>
    </row>
    <row r="58" spans="2:17" x14ac:dyDescent="0.2">
      <c r="B58">
        <v>49</v>
      </c>
      <c r="K58" s="1"/>
      <c r="L58" s="1">
        <v>6.5300800000000006E-2</v>
      </c>
      <c r="M58" s="1">
        <v>0.34501999999999999</v>
      </c>
      <c r="N58" s="1">
        <v>0.59524999999999995</v>
      </c>
      <c r="O58" s="1"/>
      <c r="P58" s="8"/>
    </row>
    <row r="59" spans="2:17" x14ac:dyDescent="0.2">
      <c r="B59">
        <v>48</v>
      </c>
      <c r="K59" s="1"/>
      <c r="L59" s="1">
        <v>5.8472700000000002E-2</v>
      </c>
      <c r="M59" s="1">
        <v>0.30646899999999999</v>
      </c>
      <c r="N59" s="1">
        <v>0.62592099999999995</v>
      </c>
      <c r="O59" s="1"/>
    </row>
    <row r="60" spans="2:17" x14ac:dyDescent="0.2">
      <c r="B60">
        <v>48</v>
      </c>
      <c r="K60" s="1"/>
      <c r="L60" s="1">
        <v>6.20869E-2</v>
      </c>
      <c r="M60" s="1">
        <v>0.37436599999999998</v>
      </c>
      <c r="N60" s="1">
        <v>0.65603</v>
      </c>
      <c r="O60" s="1"/>
    </row>
    <row r="61" spans="2:17" x14ac:dyDescent="0.2">
      <c r="B61">
        <v>47</v>
      </c>
      <c r="K61" s="1"/>
      <c r="L61" s="1">
        <v>7.2136500000000006E-2</v>
      </c>
      <c r="M61" s="1">
        <v>0.37620799999999999</v>
      </c>
      <c r="N61" s="1">
        <v>0.64527000000000001</v>
      </c>
      <c r="O61" s="1"/>
    </row>
    <row r="62" spans="2:17" x14ac:dyDescent="0.2">
      <c r="B62">
        <v>46</v>
      </c>
      <c r="K62" s="1"/>
      <c r="L62" s="1">
        <v>6.6054500000000002E-2</v>
      </c>
      <c r="M62" s="1">
        <v>0.372834</v>
      </c>
      <c r="N62" s="1">
        <v>0.61617</v>
      </c>
      <c r="O62" s="1"/>
    </row>
    <row r="63" spans="2:17" x14ac:dyDescent="0.2">
      <c r="B63">
        <v>45</v>
      </c>
      <c r="K63" s="1"/>
      <c r="L63" s="1">
        <v>6.3036800000000004E-2</v>
      </c>
      <c r="M63" s="1">
        <v>0.37041000000000002</v>
      </c>
      <c r="N63" s="1">
        <v>0.62266500000000002</v>
      </c>
      <c r="O63" s="1"/>
    </row>
    <row r="64" spans="2:17" x14ac:dyDescent="0.2">
      <c r="B64">
        <v>45</v>
      </c>
      <c r="K64" s="1"/>
      <c r="L64" s="1">
        <v>6.3512200000000005E-2</v>
      </c>
      <c r="M64" s="1">
        <v>0.33988400000000002</v>
      </c>
      <c r="N64" s="1">
        <v>0.56300899999999998</v>
      </c>
      <c r="O64" s="1"/>
    </row>
    <row r="65" spans="1:16" x14ac:dyDescent="0.2">
      <c r="B65">
        <v>45</v>
      </c>
      <c r="K65" s="1"/>
      <c r="L65" s="1">
        <v>6.3051899999999994E-2</v>
      </c>
      <c r="M65" s="1">
        <v>0.32315700000000003</v>
      </c>
      <c r="N65" s="1">
        <v>0.57724200000000003</v>
      </c>
      <c r="O65" s="1"/>
    </row>
    <row r="66" spans="1:16" x14ac:dyDescent="0.2">
      <c r="B66">
        <v>45</v>
      </c>
      <c r="K66" s="1"/>
      <c r="L66" s="1">
        <v>6.1983099999999999E-2</v>
      </c>
      <c r="M66" s="1">
        <v>0.310363</v>
      </c>
      <c r="N66" s="1">
        <v>0.58768500000000001</v>
      </c>
      <c r="O66" s="1"/>
    </row>
    <row r="67" spans="1:16" x14ac:dyDescent="0.2">
      <c r="A67" t="s">
        <v>6</v>
      </c>
      <c r="B67">
        <v>45</v>
      </c>
      <c r="K67" s="1"/>
      <c r="L67" s="1"/>
      <c r="M67" s="1"/>
      <c r="N67" s="2"/>
      <c r="O67" s="2"/>
    </row>
    <row r="68" spans="1:16" x14ac:dyDescent="0.2">
      <c r="B68">
        <v>45</v>
      </c>
      <c r="K68" s="1"/>
      <c r="L68" s="1">
        <v>6.2000199999999998E-2</v>
      </c>
      <c r="M68" s="1">
        <v>0.343335</v>
      </c>
      <c r="N68" s="1">
        <v>0.58542799999999995</v>
      </c>
      <c r="O68" s="1"/>
    </row>
    <row r="69" spans="1:16" x14ac:dyDescent="0.2">
      <c r="B69">
        <v>45</v>
      </c>
      <c r="K69" s="1"/>
      <c r="L69" s="1">
        <v>6.1849599999999998E-2</v>
      </c>
      <c r="M69" s="1">
        <v>0.34431400000000001</v>
      </c>
      <c r="N69" s="1">
        <v>0.59622600000000003</v>
      </c>
      <c r="O69" s="1"/>
    </row>
    <row r="70" spans="1:16" x14ac:dyDescent="0.2">
      <c r="B70">
        <v>45</v>
      </c>
      <c r="K70" s="1"/>
      <c r="L70" s="1">
        <v>6.1733900000000001E-2</v>
      </c>
      <c r="M70" s="1">
        <v>0.34210600000000002</v>
      </c>
      <c r="N70" s="1">
        <v>0.54957400000000001</v>
      </c>
      <c r="O70" s="1"/>
    </row>
    <row r="71" spans="1:16" x14ac:dyDescent="0.2">
      <c r="B71">
        <v>45</v>
      </c>
      <c r="K71" s="1"/>
      <c r="L71" s="1">
        <v>5.8797500000000003E-2</v>
      </c>
      <c r="M71" s="1">
        <v>0.30914700000000001</v>
      </c>
      <c r="N71" s="1">
        <v>0.53367799999999999</v>
      </c>
      <c r="O71" s="1"/>
    </row>
    <row r="72" spans="1:16" x14ac:dyDescent="0.2">
      <c r="B72">
        <v>45</v>
      </c>
      <c r="K72" s="1"/>
      <c r="L72" s="1">
        <v>5.9098299999999999E-2</v>
      </c>
      <c r="M72" s="1">
        <v>0.36983199999999999</v>
      </c>
      <c r="N72" s="1">
        <v>0.55723800000000001</v>
      </c>
      <c r="O72" s="1"/>
    </row>
    <row r="73" spans="1:16" x14ac:dyDescent="0.2">
      <c r="B73">
        <v>46</v>
      </c>
      <c r="K73" s="1"/>
      <c r="L73" s="1">
        <v>6.2049300000000002E-2</v>
      </c>
      <c r="M73" s="1">
        <v>0.34354000000000001</v>
      </c>
      <c r="N73" s="1">
        <v>0.54891299999999998</v>
      </c>
      <c r="O73" s="1"/>
    </row>
    <row r="74" spans="1:16" x14ac:dyDescent="0.2">
      <c r="B74">
        <v>47</v>
      </c>
      <c r="K74" s="1"/>
      <c r="L74" s="1">
        <v>5.9114800000000002E-2</v>
      </c>
      <c r="M74" s="1">
        <v>0.36249599999999998</v>
      </c>
      <c r="N74" s="1">
        <v>0.57157199999999997</v>
      </c>
      <c r="O74" s="1"/>
    </row>
    <row r="75" spans="1:16" x14ac:dyDescent="0.2">
      <c r="B75">
        <v>48</v>
      </c>
      <c r="K75" s="1"/>
      <c r="L75" s="1">
        <v>6.2316799999999999E-2</v>
      </c>
      <c r="M75" s="1">
        <v>0.36227500000000001</v>
      </c>
      <c r="N75" s="1">
        <v>0.63526899999999997</v>
      </c>
      <c r="O75" s="1"/>
    </row>
    <row r="76" spans="1:16" x14ac:dyDescent="0.2">
      <c r="B76">
        <v>48</v>
      </c>
      <c r="K76" s="1"/>
      <c r="L76" s="1">
        <v>6.2259099999999998E-2</v>
      </c>
      <c r="M76" s="1">
        <v>0.393903</v>
      </c>
      <c r="N76" s="1">
        <v>0.60055499999999995</v>
      </c>
      <c r="O76" s="1"/>
    </row>
    <row r="77" spans="1:16" x14ac:dyDescent="0.2">
      <c r="B77">
        <v>48</v>
      </c>
      <c r="K77" s="1"/>
      <c r="L77" s="1">
        <v>5.9085100000000002E-2</v>
      </c>
      <c r="M77" s="1">
        <v>0.34715000000000001</v>
      </c>
      <c r="N77" s="1">
        <v>0.59027099999999999</v>
      </c>
      <c r="O77" s="1"/>
      <c r="P77" s="9" t="s">
        <v>22</v>
      </c>
    </row>
    <row r="78" spans="1:16" x14ac:dyDescent="0.2">
      <c r="B78">
        <v>48</v>
      </c>
      <c r="K78" s="1"/>
      <c r="L78" s="1">
        <v>7.5580900000000006E-2</v>
      </c>
      <c r="M78" s="1">
        <v>0.33904200000000001</v>
      </c>
      <c r="N78" s="1">
        <v>0.64065499999999997</v>
      </c>
      <c r="O78" s="1"/>
      <c r="P78" s="1">
        <v>0.60148047000000004</v>
      </c>
    </row>
    <row r="79" spans="1:16" x14ac:dyDescent="0.2">
      <c r="B79">
        <v>48</v>
      </c>
      <c r="K79" s="1"/>
      <c r="L79" s="1">
        <v>6.2290900000000003E-2</v>
      </c>
      <c r="M79" s="1">
        <v>0.37584000000000001</v>
      </c>
      <c r="N79" s="1">
        <v>0.61556500000000003</v>
      </c>
      <c r="O79" s="1"/>
    </row>
    <row r="80" spans="1:16" x14ac:dyDescent="0.2">
      <c r="B80">
        <v>47</v>
      </c>
      <c r="K80" s="1"/>
      <c r="L80" s="1">
        <v>6.27751E-2</v>
      </c>
      <c r="M80" s="1">
        <v>0.34134100000000001</v>
      </c>
      <c r="N80" s="1">
        <v>0.58836100000000002</v>
      </c>
      <c r="O80" s="1"/>
    </row>
    <row r="81" spans="1:19" x14ac:dyDescent="0.2">
      <c r="B81">
        <v>46</v>
      </c>
      <c r="K81" s="1"/>
      <c r="L81" s="1">
        <v>6.1418599999999997E-2</v>
      </c>
      <c r="M81" s="1">
        <v>0.312745</v>
      </c>
      <c r="N81" s="1">
        <v>0.60985800000000001</v>
      </c>
      <c r="O81" s="1"/>
      <c r="P81" s="1" t="s">
        <v>17</v>
      </c>
      <c r="Q81" t="s">
        <v>21</v>
      </c>
    </row>
    <row r="82" spans="1:19" x14ac:dyDescent="0.2">
      <c r="B82">
        <v>45</v>
      </c>
      <c r="K82" s="1"/>
      <c r="L82" s="1">
        <v>6.4724199999999996E-2</v>
      </c>
      <c r="M82" s="1">
        <v>0.34348800000000002</v>
      </c>
      <c r="N82" s="1">
        <v>0.55144899999999997</v>
      </c>
      <c r="O82" s="1"/>
      <c r="P82" s="8" t="s">
        <v>19</v>
      </c>
      <c r="Q82">
        <f>O87/P78</f>
        <v>0.67867906002002021</v>
      </c>
      <c r="R82" s="1" t="s">
        <v>20</v>
      </c>
      <c r="S82">
        <f>1-Q82</f>
        <v>0.32132093997997979</v>
      </c>
    </row>
    <row r="83" spans="1:19" x14ac:dyDescent="0.2">
      <c r="B83">
        <v>45</v>
      </c>
      <c r="K83" s="1"/>
      <c r="L83" s="1">
        <v>6.1101999999999997E-2</v>
      </c>
      <c r="M83" s="1">
        <v>0.314438</v>
      </c>
      <c r="N83" s="1">
        <v>0.54626200000000003</v>
      </c>
      <c r="O83" s="1"/>
    </row>
    <row r="84" spans="1:19" x14ac:dyDescent="0.2">
      <c r="B84">
        <v>45</v>
      </c>
      <c r="K84" s="1"/>
      <c r="L84" s="1">
        <v>6.0998700000000003E-2</v>
      </c>
      <c r="M84" s="1">
        <v>0.31126500000000001</v>
      </c>
      <c r="N84" s="1">
        <v>0.59010600000000002</v>
      </c>
      <c r="O84" s="1"/>
    </row>
    <row r="85" spans="1:19" x14ac:dyDescent="0.2">
      <c r="B85">
        <v>45</v>
      </c>
      <c r="K85" s="1"/>
      <c r="L85" s="1">
        <v>6.4757800000000004E-2</v>
      </c>
      <c r="M85" s="1">
        <v>0.34199000000000002</v>
      </c>
      <c r="N85" s="1">
        <v>0.61293600000000004</v>
      </c>
      <c r="O85" s="1"/>
    </row>
    <row r="86" spans="1:19" x14ac:dyDescent="0.2">
      <c r="B86">
        <v>45</v>
      </c>
      <c r="K86" s="1"/>
      <c r="L86" s="1">
        <v>6.6798999999999997E-2</v>
      </c>
      <c r="M86" s="1">
        <v>0.34234900000000001</v>
      </c>
      <c r="N86" s="1">
        <v>0.54535900000000004</v>
      </c>
      <c r="O86" s="1"/>
    </row>
    <row r="87" spans="1:19" x14ac:dyDescent="0.2">
      <c r="A87" s="1" t="s">
        <v>7</v>
      </c>
      <c r="B87">
        <f>AVERAGE(B48:B86)</f>
        <v>46.307692307692307</v>
      </c>
      <c r="K87" s="1" t="s">
        <v>7</v>
      </c>
      <c r="L87" s="1">
        <f>AVERAGE(L49:L86)</f>
        <v>6.2694040540540549E-2</v>
      </c>
      <c r="M87" s="1">
        <f>AVERAGE(M48:M86)</f>
        <v>0.3505257631578948</v>
      </c>
      <c r="N87" s="2">
        <f>AVERAGE(N48:N86)</f>
        <v>0.59443621052631579</v>
      </c>
      <c r="O87" s="2">
        <f>SUM(L82,M82)</f>
        <v>0.40821220000000003</v>
      </c>
    </row>
    <row r="88" spans="1:19" x14ac:dyDescent="0.2">
      <c r="K88" s="1" t="s">
        <v>8</v>
      </c>
      <c r="L88" s="1"/>
      <c r="M88" s="1"/>
      <c r="N88" s="2">
        <f>N87/N48</f>
        <v>1.0162866261926036</v>
      </c>
      <c r="O88" s="2">
        <f>O87/O48</f>
        <v>0.63061642380729854</v>
      </c>
    </row>
    <row r="89" spans="1:19" x14ac:dyDescent="0.2">
      <c r="K89" s="1"/>
      <c r="L89" s="1"/>
      <c r="M89" s="1" t="s">
        <v>10</v>
      </c>
      <c r="N89" s="1">
        <f>1-N88</f>
        <v>-1.628662619260357E-2</v>
      </c>
      <c r="O89" s="1">
        <f>1-O88</f>
        <v>0.36938357619270146</v>
      </c>
    </row>
    <row r="90" spans="1:19" x14ac:dyDescent="0.2">
      <c r="K90" s="1"/>
      <c r="L90" s="1"/>
      <c r="M90" s="1"/>
      <c r="N90" s="2" t="s">
        <v>3</v>
      </c>
      <c r="O90" s="2" t="s">
        <v>4</v>
      </c>
    </row>
    <row r="91" spans="1:19" x14ac:dyDescent="0.2">
      <c r="K91" s="1"/>
      <c r="L91" s="1"/>
      <c r="M91" s="1"/>
      <c r="N91" s="1"/>
      <c r="O91" s="1"/>
    </row>
    <row r="92" spans="1:19" x14ac:dyDescent="0.2">
      <c r="A92" s="1" t="s">
        <v>13</v>
      </c>
      <c r="B92" s="1" t="s">
        <v>14</v>
      </c>
      <c r="C92" s="1" t="s">
        <v>15</v>
      </c>
      <c r="D92" s="1"/>
      <c r="K92" s="1"/>
      <c r="L92" s="1"/>
      <c r="M92" s="1"/>
      <c r="N92" s="1"/>
      <c r="O92" s="1"/>
    </row>
    <row r="93" spans="1:19" x14ac:dyDescent="0.2">
      <c r="A93" s="1">
        <v>1</v>
      </c>
      <c r="B93" s="1">
        <f>RADIANS(Table1[[#This Row],[x]])</f>
        <v>1.7453292519943295E-2</v>
      </c>
      <c r="C93" s="1">
        <f t="shared" ref="C93:C108" si="0">SIN(B93)</f>
        <v>1.7452406437283512E-2</v>
      </c>
      <c r="D93" s="1"/>
    </row>
    <row r="94" spans="1:19" x14ac:dyDescent="0.2">
      <c r="A94" s="1">
        <v>2</v>
      </c>
      <c r="B94" s="1">
        <f>RADIANS(Table1[[#This Row],[x]])</f>
        <v>3.4906585039886591E-2</v>
      </c>
      <c r="C94" s="1">
        <f>SIN(B94)</f>
        <v>3.4899496702500969E-2</v>
      </c>
      <c r="D94" s="1"/>
    </row>
    <row r="95" spans="1:19" x14ac:dyDescent="0.2">
      <c r="A95" s="1">
        <v>3</v>
      </c>
      <c r="B95" s="1">
        <f>RADIANS(Table1[[#This Row],[x]])</f>
        <v>5.235987755982989E-2</v>
      </c>
      <c r="C95" s="1">
        <f t="shared" si="0"/>
        <v>5.2335956242943835E-2</v>
      </c>
      <c r="D95" s="1"/>
    </row>
    <row r="96" spans="1:19" x14ac:dyDescent="0.2">
      <c r="A96" s="1">
        <v>4</v>
      </c>
      <c r="B96" s="1">
        <f>RADIANS(Table1[[#This Row],[x]])</f>
        <v>6.9813170079773182E-2</v>
      </c>
      <c r="C96" s="1">
        <f t="shared" si="0"/>
        <v>6.9756473744125302E-2</v>
      </c>
      <c r="D96" s="1"/>
    </row>
    <row r="97" spans="1:4" x14ac:dyDescent="0.2">
      <c r="A97" s="1">
        <v>5</v>
      </c>
      <c r="B97" s="1">
        <f>RADIANS(Table1[[#This Row],[x]])</f>
        <v>8.7266462599716474E-2</v>
      </c>
      <c r="C97" s="1">
        <f t="shared" si="0"/>
        <v>8.7155742747658166E-2</v>
      </c>
      <c r="D97" s="1"/>
    </row>
    <row r="98" spans="1:4" x14ac:dyDescent="0.2">
      <c r="A98" s="1">
        <v>6</v>
      </c>
      <c r="B98" s="1">
        <f>RADIANS(Table1[[#This Row],[x]])</f>
        <v>0.10471975511965978</v>
      </c>
      <c r="C98" s="1">
        <f t="shared" si="0"/>
        <v>0.10452846326765347</v>
      </c>
      <c r="D98" s="1"/>
    </row>
    <row r="99" spans="1:4" x14ac:dyDescent="0.2">
      <c r="A99" s="1">
        <v>7</v>
      </c>
      <c r="B99" s="1">
        <f>RADIANS(Table1[[#This Row],[x]])</f>
        <v>0.12217304763960307</v>
      </c>
      <c r="C99" s="1">
        <f t="shared" si="0"/>
        <v>0.12186934340514748</v>
      </c>
      <c r="D99" s="1"/>
    </row>
    <row r="100" spans="1:4" x14ac:dyDescent="0.2">
      <c r="A100" s="1">
        <v>8</v>
      </c>
      <c r="B100" s="1">
        <f>RADIANS(Table1[[#This Row],[x]])</f>
        <v>0.13962634015954636</v>
      </c>
      <c r="C100" s="1">
        <f t="shared" si="0"/>
        <v>0.13917310096006544</v>
      </c>
      <c r="D100" s="1"/>
    </row>
    <row r="101" spans="1:4" x14ac:dyDescent="0.2">
      <c r="A101" s="1">
        <v>9</v>
      </c>
      <c r="B101" s="1">
        <f>RADIANS(Table1[[#This Row],[x]])</f>
        <v>0.15707963267948966</v>
      </c>
      <c r="C101" s="1">
        <f t="shared" si="0"/>
        <v>0.15643446504023087</v>
      </c>
      <c r="D101" s="1"/>
    </row>
    <row r="102" spans="1:4" x14ac:dyDescent="0.2">
      <c r="A102" s="1">
        <v>10</v>
      </c>
      <c r="B102" s="1">
        <f>RADIANS(Table1[[#This Row],[x]])</f>
        <v>0.17453292519943295</v>
      </c>
      <c r="C102" s="1">
        <f t="shared" si="0"/>
        <v>0.17364817766693033</v>
      </c>
      <c r="D102" s="1"/>
    </row>
    <row r="103" spans="1:4" x14ac:dyDescent="0.2">
      <c r="A103" s="1">
        <v>11</v>
      </c>
      <c r="B103" s="1">
        <f>RADIANS(Table1[[#This Row],[x]])</f>
        <v>0.19198621771937624</v>
      </c>
      <c r="C103" s="1">
        <f t="shared" si="0"/>
        <v>0.1908089953765448</v>
      </c>
      <c r="D103" s="1"/>
    </row>
    <row r="104" spans="1:4" x14ac:dyDescent="0.2">
      <c r="A104" s="1">
        <v>12</v>
      </c>
      <c r="B104" s="1">
        <f>RADIANS(Table1[[#This Row],[x]])</f>
        <v>0.20943951023931956</v>
      </c>
      <c r="C104" s="1">
        <f t="shared" si="0"/>
        <v>0.20791169081775934</v>
      </c>
      <c r="D104" s="1"/>
    </row>
    <row r="105" spans="1:4" x14ac:dyDescent="0.2">
      <c r="A105" s="1">
        <v>13</v>
      </c>
      <c r="B105" s="1">
        <f>RADIANS(Table1[[#This Row],[x]])</f>
        <v>0.22689280275926285</v>
      </c>
      <c r="C105" s="1">
        <f t="shared" si="0"/>
        <v>0.224951054343865</v>
      </c>
      <c r="D105" s="1"/>
    </row>
    <row r="106" spans="1:4" x14ac:dyDescent="0.2">
      <c r="A106" s="1">
        <v>14</v>
      </c>
      <c r="B106" s="1">
        <f>RADIANS(Table1[[#This Row],[x]])</f>
        <v>0.24434609527920614</v>
      </c>
      <c r="C106" s="1">
        <f t="shared" si="0"/>
        <v>0.24192189559966773</v>
      </c>
      <c r="D106" s="1"/>
    </row>
    <row r="107" spans="1:4" x14ac:dyDescent="0.2">
      <c r="A107" s="1">
        <v>15</v>
      </c>
      <c r="B107" s="1">
        <f>RADIANS(Table1[[#This Row],[x]])</f>
        <v>0.26179938779914941</v>
      </c>
      <c r="C107" s="1">
        <f t="shared" si="0"/>
        <v>0.25881904510252074</v>
      </c>
      <c r="D107" s="1"/>
    </row>
    <row r="108" spans="1:4" x14ac:dyDescent="0.2">
      <c r="A108" s="1">
        <v>16</v>
      </c>
      <c r="B108" s="1">
        <f>RADIANS(Table1[[#This Row],[x]])</f>
        <v>0.27925268031909273</v>
      </c>
      <c r="C108" s="1">
        <f t="shared" si="0"/>
        <v>0.27563735581699916</v>
      </c>
      <c r="D108" s="1"/>
    </row>
    <row r="109" spans="1:4" x14ac:dyDescent="0.2">
      <c r="A109" s="1">
        <v>17</v>
      </c>
      <c r="B109" s="7">
        <f>RADIANS(Table1[[#This Row],[x]])</f>
        <v>0.29670597283903605</v>
      </c>
      <c r="C109" s="7">
        <f>SIN(B109)</f>
        <v>0.29237170472273677</v>
      </c>
      <c r="D109" s="1"/>
    </row>
    <row r="110" spans="1:4" x14ac:dyDescent="0.2">
      <c r="A110" s="1">
        <v>18</v>
      </c>
      <c r="B110" s="7">
        <f>RADIANS(Table1[[#This Row],[x]])</f>
        <v>0.31415926535897931</v>
      </c>
      <c r="C110" s="7">
        <f>SIN(B110)</f>
        <v>0.3090169943749474</v>
      </c>
      <c r="D110" s="1"/>
    </row>
    <row r="111" spans="1:4" x14ac:dyDescent="0.2">
      <c r="A111" s="1">
        <v>19</v>
      </c>
      <c r="B111" s="7">
        <f>RADIANS(Table1[[#This Row],[x]])</f>
        <v>0.33161255787892263</v>
      </c>
      <c r="C111" s="7">
        <f t="shared" ref="C111:C116" si="1">SIN(B111)</f>
        <v>0.3255681544571567</v>
      </c>
      <c r="D111" s="1"/>
    </row>
    <row r="112" spans="1:4" x14ac:dyDescent="0.2">
      <c r="A112" s="1">
        <v>20</v>
      </c>
      <c r="B112" s="7">
        <f>RADIANS(Table1[[#This Row],[x]])</f>
        <v>0.3490658503988659</v>
      </c>
      <c r="C112" s="7">
        <f t="shared" si="1"/>
        <v>0.34202014332566871</v>
      </c>
    </row>
    <row r="113" spans="1:16" x14ac:dyDescent="0.2">
      <c r="A113" s="1">
        <v>21</v>
      </c>
      <c r="B113" s="7">
        <f>RADIANS(Table1[[#This Row],[x]])</f>
        <v>0.36651914291880922</v>
      </c>
      <c r="C113" s="7">
        <f t="shared" si="1"/>
        <v>0.35836794954530027</v>
      </c>
    </row>
    <row r="114" spans="1:16" x14ac:dyDescent="0.2">
      <c r="A114" s="1">
        <v>22</v>
      </c>
      <c r="B114" s="7">
        <f>RADIANS(Table1[[#This Row],[x]])</f>
        <v>0.38397243543875248</v>
      </c>
      <c r="C114" s="7">
        <f t="shared" si="1"/>
        <v>0.37460659341591201</v>
      </c>
    </row>
    <row r="115" spans="1:16" x14ac:dyDescent="0.2">
      <c r="A115" s="1">
        <v>23</v>
      </c>
      <c r="B115" s="7">
        <f>RADIANS(Table1[[#This Row],[x]])</f>
        <v>0.4014257279586958</v>
      </c>
      <c r="C115" s="7">
        <f t="shared" si="1"/>
        <v>0.39073112848927377</v>
      </c>
    </row>
    <row r="116" spans="1:16" x14ac:dyDescent="0.2">
      <c r="A116" s="1">
        <v>24</v>
      </c>
      <c r="B116" s="7">
        <f>RADIANS(Table1[[#This Row],[x]])</f>
        <v>0.41887902047863912</v>
      </c>
      <c r="C116" s="7">
        <f t="shared" si="1"/>
        <v>0.40673664307580021</v>
      </c>
    </row>
    <row r="117" spans="1:16" x14ac:dyDescent="0.2">
      <c r="A117" s="1">
        <v>25</v>
      </c>
      <c r="B117" s="7">
        <f>RADIANS(Table1[[#This Row],[x]])</f>
        <v>0.43633231299858238</v>
      </c>
      <c r="C117" s="7">
        <f t="shared" ref="C117:C143" si="2">SIN(B117)</f>
        <v>0.42261826174069944</v>
      </c>
    </row>
    <row r="118" spans="1:16" x14ac:dyDescent="0.2">
      <c r="A118" s="1">
        <v>26</v>
      </c>
      <c r="B118" s="7">
        <f>RADIANS(Table1[[#This Row],[x]])</f>
        <v>0.4537856055185257</v>
      </c>
      <c r="C118" s="7">
        <f t="shared" si="2"/>
        <v>0.4383711467890774</v>
      </c>
    </row>
    <row r="119" spans="1:16" x14ac:dyDescent="0.2">
      <c r="A119" s="1">
        <v>27</v>
      </c>
      <c r="B119" s="7">
        <f>RADIANS(Table1[[#This Row],[x]])</f>
        <v>0.47123889803846897</v>
      </c>
      <c r="C119" s="7">
        <f t="shared" si="2"/>
        <v>0.45399049973954675</v>
      </c>
    </row>
    <row r="120" spans="1:16" x14ac:dyDescent="0.2">
      <c r="A120" s="1">
        <v>28</v>
      </c>
      <c r="B120" s="7">
        <f>RADIANS(Table1[[#This Row],[x]])</f>
        <v>0.48869219055841229</v>
      </c>
      <c r="C120" s="7">
        <f t="shared" si="2"/>
        <v>0.46947156278589081</v>
      </c>
    </row>
    <row r="121" spans="1:16" x14ac:dyDescent="0.2">
      <c r="A121" s="1">
        <v>29</v>
      </c>
      <c r="B121" s="7">
        <f>RADIANS(Table1[[#This Row],[x]])</f>
        <v>0.50614548307835561</v>
      </c>
      <c r="C121" s="7">
        <f t="shared" si="2"/>
        <v>0.48480962024633706</v>
      </c>
    </row>
    <row r="122" spans="1:16" x14ac:dyDescent="0.2">
      <c r="A122" s="1">
        <v>30</v>
      </c>
      <c r="B122" s="7">
        <f>RADIANS(Table1[[#This Row],[x]])</f>
        <v>0.52359877559829882</v>
      </c>
      <c r="C122" s="7">
        <f t="shared" si="2"/>
        <v>0.49999999999999994</v>
      </c>
      <c r="G122" t="s">
        <v>25</v>
      </c>
      <c r="P122" s="1" t="s">
        <v>26</v>
      </c>
    </row>
    <row r="123" spans="1:16" x14ac:dyDescent="0.2">
      <c r="A123" s="1">
        <v>31</v>
      </c>
      <c r="B123" s="7">
        <f>RADIANS(Table1[[#This Row],[x]])</f>
        <v>0.54105206811824214</v>
      </c>
      <c r="C123" s="7">
        <f t="shared" si="2"/>
        <v>0.51503807491005416</v>
      </c>
      <c r="G123">
        <v>114</v>
      </c>
      <c r="P123">
        <v>114</v>
      </c>
    </row>
    <row r="124" spans="1:16" x14ac:dyDescent="0.2">
      <c r="A124" s="1">
        <v>32</v>
      </c>
      <c r="B124" s="7">
        <f>RADIANS(Table1[[#This Row],[x]])</f>
        <v>0.55850536063818546</v>
      </c>
      <c r="C124" s="7">
        <f t="shared" si="2"/>
        <v>0.5299192642332049</v>
      </c>
      <c r="G124">
        <v>116</v>
      </c>
      <c r="P124">
        <v>116</v>
      </c>
    </row>
    <row r="125" spans="1:16" x14ac:dyDescent="0.2">
      <c r="A125" s="1">
        <v>33</v>
      </c>
      <c r="B125" s="7">
        <f>RADIANS(Table1[[#This Row],[x]])</f>
        <v>0.57595865315812877</v>
      </c>
      <c r="C125" s="7">
        <f t="shared" si="2"/>
        <v>0.54463903501502708</v>
      </c>
      <c r="G125">
        <v>116</v>
      </c>
      <c r="P125">
        <v>116</v>
      </c>
    </row>
    <row r="126" spans="1:16" x14ac:dyDescent="0.2">
      <c r="A126" s="1">
        <v>34</v>
      </c>
      <c r="B126" s="7">
        <f>RADIANS(Table1[[#This Row],[x]])</f>
        <v>0.59341194567807209</v>
      </c>
      <c r="C126" s="7">
        <f t="shared" si="2"/>
        <v>0.5591929034707469</v>
      </c>
      <c r="G126">
        <v>117</v>
      </c>
      <c r="P126">
        <v>117</v>
      </c>
    </row>
    <row r="127" spans="1:16" x14ac:dyDescent="0.2">
      <c r="A127" s="1">
        <v>35</v>
      </c>
      <c r="B127" s="7">
        <f>RADIANS(Table1[[#This Row],[x]])</f>
        <v>0.6108652381980153</v>
      </c>
      <c r="C127" s="7">
        <f t="shared" si="2"/>
        <v>0.57357643635104605</v>
      </c>
      <c r="G127">
        <v>118</v>
      </c>
      <c r="P127">
        <v>118</v>
      </c>
    </row>
    <row r="128" spans="1:16" x14ac:dyDescent="0.2">
      <c r="A128" s="1">
        <v>36</v>
      </c>
      <c r="B128" s="7">
        <f>RADIANS(Table1[[#This Row],[x]])</f>
        <v>0.62831853071795862</v>
      </c>
      <c r="C128" s="7">
        <f t="shared" si="2"/>
        <v>0.58778525229247314</v>
      </c>
      <c r="G128">
        <v>118</v>
      </c>
      <c r="P128">
        <v>118</v>
      </c>
    </row>
    <row r="129" spans="1:16" x14ac:dyDescent="0.2">
      <c r="A129" s="1">
        <v>37</v>
      </c>
      <c r="B129" s="7">
        <f>RADIANS(Table1[[#This Row],[x]])</f>
        <v>0.64577182323790194</v>
      </c>
      <c r="C129" s="7">
        <f t="shared" si="2"/>
        <v>0.60181502315204827</v>
      </c>
      <c r="G129">
        <v>119</v>
      </c>
      <c r="P129">
        <v>119</v>
      </c>
    </row>
    <row r="130" spans="1:16" x14ac:dyDescent="0.2">
      <c r="A130" s="1">
        <v>38</v>
      </c>
      <c r="B130" s="7">
        <f>RADIANS(Table1[[#This Row],[x]])</f>
        <v>0.66322511575784526</v>
      </c>
      <c r="C130" s="7">
        <f t="shared" si="2"/>
        <v>0.61566147532565829</v>
      </c>
      <c r="G130">
        <v>119</v>
      </c>
      <c r="P130">
        <v>119</v>
      </c>
    </row>
    <row r="131" spans="1:16" x14ac:dyDescent="0.2">
      <c r="A131" s="1">
        <v>39</v>
      </c>
      <c r="B131" s="7">
        <f>RADIANS(Table1[[#This Row],[x]])</f>
        <v>0.68067840827778847</v>
      </c>
      <c r="C131" s="7">
        <f t="shared" si="2"/>
        <v>0.62932039104983739</v>
      </c>
      <c r="G131">
        <v>120</v>
      </c>
      <c r="P131">
        <v>119</v>
      </c>
    </row>
    <row r="132" spans="1:16" x14ac:dyDescent="0.2">
      <c r="A132" s="1">
        <v>40</v>
      </c>
      <c r="B132" s="7">
        <f>RADIANS(Table1[[#This Row],[x]])</f>
        <v>0.69813170079773179</v>
      </c>
      <c r="C132" s="7">
        <f t="shared" si="2"/>
        <v>0.64278760968653925</v>
      </c>
      <c r="G132">
        <v>120</v>
      </c>
      <c r="P132">
        <v>119</v>
      </c>
    </row>
    <row r="133" spans="1:16" x14ac:dyDescent="0.2">
      <c r="A133" s="1">
        <v>41</v>
      </c>
      <c r="B133" s="7">
        <f>RADIANS(Table1[[#This Row],[x]])</f>
        <v>0.71558499331767511</v>
      </c>
      <c r="C133" s="7">
        <f t="shared" si="2"/>
        <v>0.65605902899050728</v>
      </c>
      <c r="G133">
        <v>120</v>
      </c>
      <c r="P133">
        <v>119</v>
      </c>
    </row>
    <row r="134" spans="1:16" x14ac:dyDescent="0.2">
      <c r="A134" s="1">
        <v>42</v>
      </c>
      <c r="B134" s="7">
        <f>RADIANS(Table1[[#This Row],[x]])</f>
        <v>0.73303828583761843</v>
      </c>
      <c r="C134" s="7">
        <f t="shared" si="2"/>
        <v>0.66913060635885824</v>
      </c>
      <c r="G134">
        <v>119</v>
      </c>
      <c r="P134">
        <v>119</v>
      </c>
    </row>
    <row r="135" spans="1:16" x14ac:dyDescent="0.2">
      <c r="A135" s="1">
        <v>43</v>
      </c>
      <c r="B135" s="7">
        <f>RADIANS(Table1[[#This Row],[x]])</f>
        <v>0.75049157835756175</v>
      </c>
      <c r="C135" s="7">
        <f t="shared" si="2"/>
        <v>0.68199836006249848</v>
      </c>
      <c r="G135">
        <v>119</v>
      </c>
      <c r="P135">
        <v>119</v>
      </c>
    </row>
    <row r="136" spans="1:16" x14ac:dyDescent="0.2">
      <c r="A136" s="1">
        <v>44</v>
      </c>
      <c r="B136" s="7">
        <f>RADIANS(Table1[[#This Row],[x]])</f>
        <v>0.76794487087750496</v>
      </c>
      <c r="C136" s="7">
        <f t="shared" si="2"/>
        <v>0.69465837045899725</v>
      </c>
      <c r="G136">
        <v>118</v>
      </c>
      <c r="P136">
        <v>118</v>
      </c>
    </row>
    <row r="137" spans="1:16" x14ac:dyDescent="0.2">
      <c r="A137" s="1">
        <v>45</v>
      </c>
      <c r="B137" s="7">
        <f>RADIANS(Table1[[#This Row],[x]])</f>
        <v>0.78539816339744828</v>
      </c>
      <c r="C137" s="7">
        <f t="shared" si="2"/>
        <v>0.70710678118654746</v>
      </c>
      <c r="G137">
        <v>118</v>
      </c>
      <c r="P137">
        <v>118</v>
      </c>
    </row>
    <row r="138" spans="1:16" x14ac:dyDescent="0.2">
      <c r="A138" s="1">
        <v>46</v>
      </c>
      <c r="B138" s="7">
        <f>RADIANS(Table1[[#This Row],[x]])</f>
        <v>0.8028514559173916</v>
      </c>
      <c r="C138" s="7">
        <f t="shared" si="2"/>
        <v>0.71933980033865108</v>
      </c>
      <c r="G138">
        <v>117</v>
      </c>
      <c r="P138">
        <v>117</v>
      </c>
    </row>
    <row r="139" spans="1:16" x14ac:dyDescent="0.2">
      <c r="A139" s="1">
        <v>47</v>
      </c>
      <c r="B139" s="7">
        <f>RADIANS(Table1[[#This Row],[x]])</f>
        <v>0.82030474843733492</v>
      </c>
      <c r="C139" s="7">
        <f t="shared" si="2"/>
        <v>0.73135370161917046</v>
      </c>
      <c r="G139">
        <v>116</v>
      </c>
      <c r="P139">
        <v>116</v>
      </c>
    </row>
    <row r="140" spans="1:16" x14ac:dyDescent="0.2">
      <c r="A140" s="1">
        <v>48</v>
      </c>
      <c r="B140" s="7">
        <f>RADIANS(Table1[[#This Row],[x]])</f>
        <v>0.83775804095727824</v>
      </c>
      <c r="C140" s="7">
        <f t="shared" si="2"/>
        <v>0.74314482547739424</v>
      </c>
      <c r="G140">
        <v>116</v>
      </c>
      <c r="P140">
        <v>116</v>
      </c>
    </row>
    <row r="141" spans="1:16" x14ac:dyDescent="0.2">
      <c r="A141" s="1">
        <v>49</v>
      </c>
      <c r="B141" s="7">
        <f>RADIANS(Table1[[#This Row],[x]])</f>
        <v>0.85521133347722145</v>
      </c>
      <c r="C141" s="7">
        <f t="shared" si="2"/>
        <v>0.75470958022277201</v>
      </c>
      <c r="G141">
        <v>114</v>
      </c>
      <c r="P141">
        <v>114</v>
      </c>
    </row>
    <row r="142" spans="1:16" x14ac:dyDescent="0.2">
      <c r="A142" s="1">
        <v>50</v>
      </c>
      <c r="B142" s="7">
        <f>RADIANS(Table1[[#This Row],[x]])</f>
        <v>0.87266462599716477</v>
      </c>
      <c r="C142" s="7">
        <f t="shared" si="2"/>
        <v>0.76604444311897801</v>
      </c>
      <c r="G142">
        <v>114</v>
      </c>
      <c r="P142">
        <v>113</v>
      </c>
    </row>
    <row r="143" spans="1:16" x14ac:dyDescent="0.2">
      <c r="A143" s="1">
        <v>51</v>
      </c>
      <c r="B143" s="7">
        <f>RADIANS(Table1[[#This Row],[x]])</f>
        <v>0.89011791851710809</v>
      </c>
      <c r="C143" s="7">
        <f t="shared" si="2"/>
        <v>0.7771459614569709</v>
      </c>
      <c r="G143">
        <v>114</v>
      </c>
      <c r="P143">
        <v>113</v>
      </c>
    </row>
    <row r="144" spans="1:16" x14ac:dyDescent="0.2">
      <c r="A144" s="1">
        <v>52</v>
      </c>
      <c r="B144" s="7">
        <f>RADIANS(Table1[[#This Row],[x]])</f>
        <v>0.90757121103705141</v>
      </c>
      <c r="C144" s="7">
        <f t="shared" ref="C144:C165" si="3">SIN(B144)</f>
        <v>0.78801075360672201</v>
      </c>
      <c r="G144">
        <v>114</v>
      </c>
      <c r="P144">
        <v>114</v>
      </c>
    </row>
    <row r="145" spans="1:16" x14ac:dyDescent="0.2">
      <c r="A145" s="1">
        <v>53</v>
      </c>
      <c r="B145" s="7">
        <f>RADIANS(Table1[[#This Row],[x]])</f>
        <v>0.92502450355699462</v>
      </c>
      <c r="C145" s="7">
        <f t="shared" si="3"/>
        <v>0.79863551004729283</v>
      </c>
      <c r="G145">
        <v>115</v>
      </c>
      <c r="P145">
        <v>114</v>
      </c>
    </row>
    <row r="146" spans="1:16" x14ac:dyDescent="0.2">
      <c r="A146" s="1">
        <v>54</v>
      </c>
      <c r="B146" s="7">
        <f>RADIANS(Table1[[#This Row],[x]])</f>
        <v>0.94247779607693793</v>
      </c>
      <c r="C146" s="7">
        <f t="shared" si="3"/>
        <v>0.80901699437494745</v>
      </c>
      <c r="G146">
        <v>115</v>
      </c>
      <c r="P146">
        <v>115</v>
      </c>
    </row>
    <row r="147" spans="1:16" x14ac:dyDescent="0.2">
      <c r="A147" s="1">
        <v>55</v>
      </c>
      <c r="B147" s="7">
        <f>RADIANS(Table1[[#This Row],[x]])</f>
        <v>0.95993108859688125</v>
      </c>
      <c r="C147" s="7">
        <f t="shared" si="3"/>
        <v>0.8191520442889918</v>
      </c>
      <c r="G147">
        <v>116</v>
      </c>
      <c r="P147">
        <v>116</v>
      </c>
    </row>
    <row r="148" spans="1:16" x14ac:dyDescent="0.2">
      <c r="A148" s="1">
        <v>56</v>
      </c>
      <c r="B148" s="7">
        <f>RADIANS(Table1[[#This Row],[x]])</f>
        <v>0.97738438111682457</v>
      </c>
      <c r="C148" s="7">
        <f t="shared" si="3"/>
        <v>0.82903757255504174</v>
      </c>
      <c r="G148">
        <v>118</v>
      </c>
      <c r="P148">
        <v>118</v>
      </c>
    </row>
    <row r="149" spans="1:16" x14ac:dyDescent="0.2">
      <c r="A149" s="1">
        <v>57</v>
      </c>
      <c r="B149" s="7">
        <f>RADIANS(Table1[[#This Row],[x]])</f>
        <v>0.99483767363676789</v>
      </c>
      <c r="C149" s="7">
        <f t="shared" si="3"/>
        <v>0.83867056794542405</v>
      </c>
      <c r="G149">
        <v>120</v>
      </c>
      <c r="P149">
        <v>120</v>
      </c>
    </row>
    <row r="150" spans="1:16" x14ac:dyDescent="0.2">
      <c r="A150" s="1">
        <v>58</v>
      </c>
      <c r="B150" s="7">
        <f>RADIANS(Table1[[#This Row],[x]])</f>
        <v>1.0122909661567112</v>
      </c>
      <c r="C150" s="7">
        <f t="shared" si="3"/>
        <v>0.84804809615642596</v>
      </c>
      <c r="G150">
        <v>122</v>
      </c>
      <c r="P150">
        <v>121</v>
      </c>
    </row>
    <row r="151" spans="1:16" x14ac:dyDescent="0.2">
      <c r="A151" s="1">
        <v>59</v>
      </c>
      <c r="B151" s="7">
        <f>RADIANS(Table1[[#This Row],[x]])</f>
        <v>1.0297442586766545</v>
      </c>
      <c r="C151" s="7">
        <f t="shared" si="3"/>
        <v>0.85716730070211233</v>
      </c>
      <c r="G151">
        <v>122</v>
      </c>
      <c r="P151">
        <v>121</v>
      </c>
    </row>
    <row r="152" spans="1:16" x14ac:dyDescent="0.2">
      <c r="A152" s="1">
        <v>60</v>
      </c>
      <c r="B152" s="7">
        <f>RADIANS(Table1[[#This Row],[x]])</f>
        <v>1.0471975511965976</v>
      </c>
      <c r="C152" s="7">
        <f t="shared" si="3"/>
        <v>0.8660254037844386</v>
      </c>
      <c r="G152">
        <v>122</v>
      </c>
      <c r="P152">
        <v>121</v>
      </c>
    </row>
    <row r="153" spans="1:16" x14ac:dyDescent="0.2">
      <c r="A153" s="1">
        <v>61</v>
      </c>
      <c r="B153" s="7">
        <f>RADIANS(Table1[[#This Row],[x]])</f>
        <v>1.064650843716541</v>
      </c>
      <c r="C153" s="7">
        <f t="shared" si="3"/>
        <v>0.87461970713939574</v>
      </c>
      <c r="G153">
        <v>120</v>
      </c>
      <c r="P153">
        <v>120</v>
      </c>
    </row>
    <row r="154" spans="1:16" x14ac:dyDescent="0.2">
      <c r="A154" s="1">
        <v>62</v>
      </c>
      <c r="B154" s="7">
        <f>RADIANS(Table1[[#This Row],[x]])</f>
        <v>1.0821041362364843</v>
      </c>
      <c r="C154" s="7">
        <f t="shared" si="3"/>
        <v>0.88294759285892688</v>
      </c>
      <c r="G154">
        <v>118</v>
      </c>
      <c r="P154">
        <v>118</v>
      </c>
    </row>
    <row r="155" spans="1:16" x14ac:dyDescent="0.2">
      <c r="A155" s="1">
        <v>63</v>
      </c>
      <c r="B155" s="7">
        <f>RADIANS(Table1[[#This Row],[x]])</f>
        <v>1.0995574287564276</v>
      </c>
      <c r="C155" s="7">
        <f t="shared" si="3"/>
        <v>0.89100652418836779</v>
      </c>
      <c r="G155">
        <v>116</v>
      </c>
      <c r="P155">
        <v>116</v>
      </c>
    </row>
    <row r="156" spans="1:16" x14ac:dyDescent="0.2">
      <c r="A156" s="1">
        <v>64</v>
      </c>
      <c r="B156" s="7">
        <f>RADIANS(Table1[[#This Row],[x]])</f>
        <v>1.1170107212763709</v>
      </c>
      <c r="C156" s="7">
        <f t="shared" si="3"/>
        <v>0.89879404629916704</v>
      </c>
      <c r="G156">
        <v>115</v>
      </c>
      <c r="P156">
        <v>115</v>
      </c>
    </row>
    <row r="157" spans="1:16" x14ac:dyDescent="0.2">
      <c r="A157" s="1">
        <v>65</v>
      </c>
      <c r="B157" s="7">
        <f>RADIANS(Table1[[#This Row],[x]])</f>
        <v>1.1344640137963142</v>
      </c>
      <c r="C157" s="7">
        <f t="shared" si="3"/>
        <v>0.90630778703664994</v>
      </c>
      <c r="G157">
        <v>115</v>
      </c>
      <c r="P157">
        <v>114</v>
      </c>
    </row>
    <row r="158" spans="1:16" x14ac:dyDescent="0.2">
      <c r="A158" s="1">
        <v>66</v>
      </c>
      <c r="B158" s="7">
        <f>RADIANS(Table1[[#This Row],[x]])</f>
        <v>1.1519173063162575</v>
      </c>
      <c r="C158" s="7">
        <f t="shared" si="3"/>
        <v>0.91354545764260087</v>
      </c>
      <c r="G158">
        <v>114</v>
      </c>
      <c r="P158">
        <v>114</v>
      </c>
    </row>
    <row r="159" spans="1:16" x14ac:dyDescent="0.2">
      <c r="A159" s="1">
        <v>67</v>
      </c>
      <c r="B159" s="7">
        <f>RADIANS(Table1[[#This Row],[x]])</f>
        <v>1.1693705988362009</v>
      </c>
      <c r="C159" s="7">
        <f t="shared" si="3"/>
        <v>0.92050485345244037</v>
      </c>
      <c r="G159">
        <v>114</v>
      </c>
      <c r="P159">
        <v>113</v>
      </c>
    </row>
    <row r="160" spans="1:16" x14ac:dyDescent="0.2">
      <c r="A160" s="1">
        <v>68</v>
      </c>
      <c r="B160" s="7">
        <f>RADIANS(Table1[[#This Row],[x]])</f>
        <v>1.1868238913561442</v>
      </c>
      <c r="C160" s="7">
        <f t="shared" si="3"/>
        <v>0.92718385456678742</v>
      </c>
      <c r="G160">
        <v>114</v>
      </c>
      <c r="P160">
        <v>113</v>
      </c>
    </row>
    <row r="161" spans="1:3" x14ac:dyDescent="0.2">
      <c r="A161" s="1">
        <v>69</v>
      </c>
      <c r="B161" s="7">
        <f>RADIANS(Table1[[#This Row],[x]])</f>
        <v>1.2042771838760873</v>
      </c>
      <c r="C161" s="7">
        <f t="shared" si="3"/>
        <v>0.93358042649720174</v>
      </c>
    </row>
    <row r="162" spans="1:3" x14ac:dyDescent="0.2">
      <c r="A162" s="1">
        <v>70</v>
      </c>
      <c r="B162" s="7">
        <f>RADIANS(Table1[[#This Row],[x]])</f>
        <v>1.2217304763960306</v>
      </c>
      <c r="C162" s="7">
        <f t="shared" si="3"/>
        <v>0.93969262078590832</v>
      </c>
    </row>
    <row r="163" spans="1:3" x14ac:dyDescent="0.2">
      <c r="A163" s="1">
        <v>71</v>
      </c>
      <c r="B163" s="7">
        <f>RADIANS(Table1[[#This Row],[x]])</f>
        <v>1.2391837689159739</v>
      </c>
      <c r="C163" s="7">
        <f t="shared" si="3"/>
        <v>0.94551857559931674</v>
      </c>
    </row>
    <row r="164" spans="1:3" x14ac:dyDescent="0.2">
      <c r="A164" s="1">
        <v>72</v>
      </c>
      <c r="B164" s="7">
        <f>RADIANS(Table1[[#This Row],[x]])</f>
        <v>1.2566370614359172</v>
      </c>
      <c r="C164" s="7">
        <f t="shared" si="3"/>
        <v>0.95105651629515353</v>
      </c>
    </row>
    <row r="165" spans="1:3" x14ac:dyDescent="0.2">
      <c r="A165" s="1">
        <v>73</v>
      </c>
      <c r="B165" s="7">
        <f>RADIANS(Table1[[#This Row],[x]])</f>
        <v>1.2740903539558606</v>
      </c>
      <c r="C165" s="7">
        <f t="shared" si="3"/>
        <v>0.95630475596303544</v>
      </c>
    </row>
    <row r="166" spans="1:3" x14ac:dyDescent="0.2">
      <c r="A166" s="1">
        <v>74</v>
      </c>
      <c r="B166" s="7">
        <f>RADIANS(Table1[[#This Row],[x]])</f>
        <v>1.2915436464758039</v>
      </c>
      <c r="C166" s="7">
        <f t="shared" ref="C166:C197" si="4">SIN(B166)</f>
        <v>0.96126169593831889</v>
      </c>
    </row>
    <row r="167" spans="1:3" x14ac:dyDescent="0.2">
      <c r="A167" s="1">
        <v>75</v>
      </c>
      <c r="B167" s="7">
        <f>RADIANS(Table1[[#This Row],[x]])</f>
        <v>1.3089969389957472</v>
      </c>
      <c r="C167" s="7">
        <f t="shared" si="4"/>
        <v>0.96592582628906831</v>
      </c>
    </row>
    <row r="168" spans="1:3" x14ac:dyDescent="0.2">
      <c r="A168" s="1">
        <v>76</v>
      </c>
      <c r="B168" s="7">
        <f>RADIANS(Table1[[#This Row],[x]])</f>
        <v>1.3264502315156905</v>
      </c>
      <c r="C168" s="7">
        <f t="shared" si="4"/>
        <v>0.97029572627599647</v>
      </c>
    </row>
    <row r="169" spans="1:3" x14ac:dyDescent="0.2">
      <c r="A169" s="1">
        <v>77</v>
      </c>
      <c r="B169" s="7">
        <f>RADIANS(Table1[[#This Row],[x]])</f>
        <v>1.3439035240356338</v>
      </c>
      <c r="C169" s="7">
        <f t="shared" si="4"/>
        <v>0.97437006478523525</v>
      </c>
    </row>
    <row r="170" spans="1:3" x14ac:dyDescent="0.2">
      <c r="A170" s="1">
        <v>78</v>
      </c>
      <c r="B170" s="7">
        <f>RADIANS(Table1[[#This Row],[x]])</f>
        <v>1.3613568165555769</v>
      </c>
      <c r="C170" s="7">
        <f t="shared" si="4"/>
        <v>0.97814760073380558</v>
      </c>
    </row>
    <row r="171" spans="1:3" x14ac:dyDescent="0.2">
      <c r="A171" s="1">
        <v>79</v>
      </c>
      <c r="B171" s="7">
        <f>RADIANS(Table1[[#This Row],[x]])</f>
        <v>1.3788101090755203</v>
      </c>
      <c r="C171" s="7">
        <f t="shared" si="4"/>
        <v>0.98162718344766398</v>
      </c>
    </row>
    <row r="172" spans="1:3" x14ac:dyDescent="0.2">
      <c r="A172" s="1">
        <v>80</v>
      </c>
      <c r="B172" s="7">
        <f>RADIANS(Table1[[#This Row],[x]])</f>
        <v>1.3962634015954636</v>
      </c>
      <c r="C172" s="7">
        <f t="shared" si="4"/>
        <v>0.98480775301220802</v>
      </c>
    </row>
    <row r="173" spans="1:3" x14ac:dyDescent="0.2">
      <c r="A173" s="1">
        <v>81</v>
      </c>
      <c r="B173" s="7">
        <f>RADIANS(Table1[[#This Row],[x]])</f>
        <v>1.4137166941154069</v>
      </c>
      <c r="C173" s="7">
        <f t="shared" si="4"/>
        <v>0.98768834059513777</v>
      </c>
    </row>
    <row r="174" spans="1:3" x14ac:dyDescent="0.2">
      <c r="A174" s="1">
        <v>82</v>
      </c>
      <c r="B174" s="7">
        <f>RADIANS(Table1[[#This Row],[x]])</f>
        <v>1.4311699866353502</v>
      </c>
      <c r="C174" s="7">
        <f t="shared" si="4"/>
        <v>0.99026806874157036</v>
      </c>
    </row>
    <row r="175" spans="1:3" x14ac:dyDescent="0.2">
      <c r="A175" s="1">
        <v>83</v>
      </c>
      <c r="B175" s="7">
        <f>RADIANS(Table1[[#This Row],[x]])</f>
        <v>1.4486232791552935</v>
      </c>
      <c r="C175" s="7">
        <f t="shared" si="4"/>
        <v>0.99254615164132198</v>
      </c>
    </row>
    <row r="176" spans="1:3" x14ac:dyDescent="0.2">
      <c r="A176" s="1">
        <v>84</v>
      </c>
      <c r="B176" s="7">
        <f>RADIANS(Table1[[#This Row],[x]])</f>
        <v>1.4660765716752369</v>
      </c>
      <c r="C176" s="7">
        <f t="shared" si="4"/>
        <v>0.99452189536827329</v>
      </c>
    </row>
    <row r="177" spans="1:3" x14ac:dyDescent="0.2">
      <c r="A177" s="1">
        <v>85</v>
      </c>
      <c r="B177" s="7">
        <f>RADIANS(Table1[[#This Row],[x]])</f>
        <v>1.4835298641951802</v>
      </c>
      <c r="C177" s="7">
        <f t="shared" si="4"/>
        <v>0.99619469809174555</v>
      </c>
    </row>
    <row r="178" spans="1:3" x14ac:dyDescent="0.2">
      <c r="A178" s="1">
        <v>86</v>
      </c>
      <c r="B178" s="7">
        <f>RADIANS(Table1[[#This Row],[x]])</f>
        <v>1.5009831567151235</v>
      </c>
      <c r="C178" s="7">
        <f t="shared" si="4"/>
        <v>0.9975640502598242</v>
      </c>
    </row>
    <row r="179" spans="1:3" x14ac:dyDescent="0.2">
      <c r="A179" s="1">
        <v>87</v>
      </c>
      <c r="B179" s="7">
        <f>RADIANS(Table1[[#This Row],[x]])</f>
        <v>1.5184364492350666</v>
      </c>
      <c r="C179" s="7">
        <f t="shared" si="4"/>
        <v>0.99862953475457383</v>
      </c>
    </row>
    <row r="180" spans="1:3" x14ac:dyDescent="0.2">
      <c r="A180" s="1">
        <v>88</v>
      </c>
      <c r="B180" s="7">
        <f>RADIANS(Table1[[#This Row],[x]])</f>
        <v>1.5358897417550099</v>
      </c>
      <c r="C180" s="7">
        <f t="shared" si="4"/>
        <v>0.99939082701909576</v>
      </c>
    </row>
    <row r="181" spans="1:3" x14ac:dyDescent="0.2">
      <c r="A181" s="1">
        <v>89</v>
      </c>
      <c r="B181" s="7">
        <f>RADIANS(Table1[[#This Row],[x]])</f>
        <v>1.5533430342749532</v>
      </c>
      <c r="C181" s="7">
        <f t="shared" si="4"/>
        <v>0.99984769515639127</v>
      </c>
    </row>
    <row r="182" spans="1:3" x14ac:dyDescent="0.2">
      <c r="A182" s="1">
        <v>90</v>
      </c>
      <c r="B182" s="7">
        <f>RADIANS(Table1[[#This Row],[x]])</f>
        <v>1.5707963267948966</v>
      </c>
      <c r="C182" s="7">
        <f t="shared" si="4"/>
        <v>1</v>
      </c>
    </row>
    <row r="183" spans="1:3" x14ac:dyDescent="0.2">
      <c r="A183" s="1">
        <v>91</v>
      </c>
      <c r="B183" s="7">
        <f>RADIANS(Table1[[#This Row],[x]])</f>
        <v>1.5882496193148399</v>
      </c>
      <c r="C183" s="7">
        <f t="shared" si="4"/>
        <v>0.99984769515639127</v>
      </c>
    </row>
    <row r="184" spans="1:3" x14ac:dyDescent="0.2">
      <c r="A184" s="1">
        <v>92</v>
      </c>
      <c r="B184" s="7">
        <f>RADIANS(Table1[[#This Row],[x]])</f>
        <v>1.6057029118347832</v>
      </c>
      <c r="C184" s="7">
        <f t="shared" si="4"/>
        <v>0.99939082701909576</v>
      </c>
    </row>
    <row r="185" spans="1:3" x14ac:dyDescent="0.2">
      <c r="A185" s="1">
        <v>93</v>
      </c>
      <c r="B185" s="7">
        <f>RADIANS(Table1[[#This Row],[x]])</f>
        <v>1.6231562043547265</v>
      </c>
      <c r="C185" s="7">
        <f t="shared" si="4"/>
        <v>0.99862953475457383</v>
      </c>
    </row>
    <row r="186" spans="1:3" x14ac:dyDescent="0.2">
      <c r="A186" s="1">
        <v>94</v>
      </c>
      <c r="B186" s="7">
        <f>RADIANS(Table1[[#This Row],[x]])</f>
        <v>1.6406094968746698</v>
      </c>
      <c r="C186" s="7">
        <f t="shared" si="4"/>
        <v>0.9975640502598242</v>
      </c>
    </row>
    <row r="187" spans="1:3" x14ac:dyDescent="0.2">
      <c r="A187" s="1">
        <v>95</v>
      </c>
      <c r="B187" s="7">
        <f>RADIANS(Table1[[#This Row],[x]])</f>
        <v>1.6580627893946132</v>
      </c>
      <c r="C187" s="7">
        <f t="shared" si="4"/>
        <v>0.99619469809174555</v>
      </c>
    </row>
    <row r="188" spans="1:3" x14ac:dyDescent="0.2">
      <c r="A188" s="1">
        <v>96</v>
      </c>
      <c r="B188" s="7">
        <f>RADIANS(Table1[[#This Row],[x]])</f>
        <v>1.6755160819145565</v>
      </c>
      <c r="C188" s="7">
        <f t="shared" si="4"/>
        <v>0.99452189536827329</v>
      </c>
    </row>
    <row r="189" spans="1:3" x14ac:dyDescent="0.2">
      <c r="A189" s="1">
        <v>97</v>
      </c>
      <c r="B189" s="7">
        <f>RADIANS(Table1[[#This Row],[x]])</f>
        <v>1.6929693744344996</v>
      </c>
      <c r="C189" s="7">
        <f t="shared" si="4"/>
        <v>0.99254615164132209</v>
      </c>
    </row>
    <row r="190" spans="1:3" x14ac:dyDescent="0.2">
      <c r="A190" s="1">
        <v>98</v>
      </c>
      <c r="B190" s="7">
        <f>RADIANS(Table1[[#This Row],[x]])</f>
        <v>1.7104226669544429</v>
      </c>
      <c r="C190" s="7">
        <f t="shared" si="4"/>
        <v>0.99026806874157036</v>
      </c>
    </row>
    <row r="191" spans="1:3" x14ac:dyDescent="0.2">
      <c r="A191" s="1">
        <v>99</v>
      </c>
      <c r="B191" s="7">
        <f>RADIANS(Table1[[#This Row],[x]])</f>
        <v>1.7278759594743862</v>
      </c>
      <c r="C191" s="7">
        <f t="shared" si="4"/>
        <v>0.98768834059513777</v>
      </c>
    </row>
    <row r="192" spans="1:3" x14ac:dyDescent="0.2">
      <c r="A192" s="1">
        <v>100</v>
      </c>
      <c r="B192" s="7">
        <f>RADIANS(Table1[[#This Row],[x]])</f>
        <v>1.7453292519943295</v>
      </c>
      <c r="C192" s="7">
        <f t="shared" si="4"/>
        <v>0.98480775301220802</v>
      </c>
    </row>
    <row r="193" spans="1:3" x14ac:dyDescent="0.2">
      <c r="A193" s="1">
        <v>101</v>
      </c>
      <c r="B193" s="7">
        <f>RADIANS(Table1[[#This Row],[x]])</f>
        <v>1.7627825445142729</v>
      </c>
      <c r="C193" s="7">
        <f t="shared" si="4"/>
        <v>0.98162718344766398</v>
      </c>
    </row>
    <row r="194" spans="1:3" x14ac:dyDescent="0.2">
      <c r="A194" s="1">
        <v>102</v>
      </c>
      <c r="B194" s="7">
        <f>RADIANS(Table1[[#This Row],[x]])</f>
        <v>1.7802358370342162</v>
      </c>
      <c r="C194" s="7">
        <f t="shared" si="4"/>
        <v>0.97814760073380569</v>
      </c>
    </row>
    <row r="195" spans="1:3" x14ac:dyDescent="0.2">
      <c r="A195" s="1">
        <v>103</v>
      </c>
      <c r="B195" s="7">
        <f>RADIANS(Table1[[#This Row],[x]])</f>
        <v>1.7976891295541595</v>
      </c>
      <c r="C195" s="7">
        <f t="shared" si="4"/>
        <v>0.97437006478523525</v>
      </c>
    </row>
    <row r="196" spans="1:3" x14ac:dyDescent="0.2">
      <c r="A196" s="1">
        <v>104</v>
      </c>
      <c r="B196" s="7">
        <f>RADIANS(Table1[[#This Row],[x]])</f>
        <v>1.8151424220741028</v>
      </c>
      <c r="C196" s="7">
        <f t="shared" si="4"/>
        <v>0.97029572627599647</v>
      </c>
    </row>
    <row r="197" spans="1:3" x14ac:dyDescent="0.2">
      <c r="A197" s="1">
        <v>105</v>
      </c>
      <c r="B197" s="7">
        <f>RADIANS(Table1[[#This Row],[x]])</f>
        <v>1.8325957145940461</v>
      </c>
      <c r="C197" s="7">
        <f t="shared" si="4"/>
        <v>0.96592582628906831</v>
      </c>
    </row>
    <row r="198" spans="1:3" x14ac:dyDescent="0.2">
      <c r="A198" s="1">
        <v>106</v>
      </c>
      <c r="B198" s="7">
        <f>RADIANS(Table1[[#This Row],[x]])</f>
        <v>1.8500490071139892</v>
      </c>
      <c r="C198" s="7">
        <f t="shared" ref="C198:C244" si="5">SIN(B198)</f>
        <v>0.96126169593831889</v>
      </c>
    </row>
    <row r="199" spans="1:3" x14ac:dyDescent="0.2">
      <c r="A199" s="1">
        <v>107</v>
      </c>
      <c r="B199" s="7">
        <f>RADIANS(Table1[[#This Row],[x]])</f>
        <v>1.8675022996339325</v>
      </c>
      <c r="C199" s="7">
        <f t="shared" si="5"/>
        <v>0.95630475596303555</v>
      </c>
    </row>
    <row r="200" spans="1:3" x14ac:dyDescent="0.2">
      <c r="A200" s="1">
        <v>108</v>
      </c>
      <c r="B200" s="7">
        <f>RADIANS(Table1[[#This Row],[x]])</f>
        <v>1.8849555921538759</v>
      </c>
      <c r="C200" s="7">
        <f t="shared" si="5"/>
        <v>0.95105651629515364</v>
      </c>
    </row>
    <row r="201" spans="1:3" x14ac:dyDescent="0.2">
      <c r="A201" s="1">
        <v>109</v>
      </c>
      <c r="B201" s="7">
        <f>RADIANS(Table1[[#This Row],[x]])</f>
        <v>1.9024088846738192</v>
      </c>
      <c r="C201" s="7">
        <f t="shared" si="5"/>
        <v>0.94551857559931685</v>
      </c>
    </row>
    <row r="202" spans="1:3" x14ac:dyDescent="0.2">
      <c r="A202" s="1">
        <v>110</v>
      </c>
      <c r="B202" s="7">
        <f>RADIANS(Table1[[#This Row],[x]])</f>
        <v>1.9198621771937625</v>
      </c>
      <c r="C202" s="7">
        <f t="shared" si="5"/>
        <v>0.93969262078590843</v>
      </c>
    </row>
    <row r="203" spans="1:3" x14ac:dyDescent="0.2">
      <c r="A203" s="1">
        <v>111</v>
      </c>
      <c r="B203" s="7">
        <f>RADIANS(Table1[[#This Row],[x]])</f>
        <v>1.9373154697137058</v>
      </c>
      <c r="C203" s="7">
        <f t="shared" si="5"/>
        <v>0.93358042649720174</v>
      </c>
    </row>
    <row r="204" spans="1:3" x14ac:dyDescent="0.2">
      <c r="A204" s="1">
        <v>112</v>
      </c>
      <c r="B204" s="7">
        <f>RADIANS(Table1[[#This Row],[x]])</f>
        <v>1.9547687622336491</v>
      </c>
      <c r="C204" s="7">
        <f t="shared" si="5"/>
        <v>0.92718385456678742</v>
      </c>
    </row>
    <row r="205" spans="1:3" x14ac:dyDescent="0.2">
      <c r="A205" s="1">
        <v>113</v>
      </c>
      <c r="B205" s="7">
        <f>RADIANS(Table1[[#This Row],[x]])</f>
        <v>1.9722220547535925</v>
      </c>
      <c r="C205" s="7">
        <f t="shared" si="5"/>
        <v>0.92050485345244026</v>
      </c>
    </row>
    <row r="206" spans="1:3" x14ac:dyDescent="0.2">
      <c r="A206" s="1">
        <v>114</v>
      </c>
      <c r="B206" s="7">
        <f>RADIANS(Table1[[#This Row],[x]])</f>
        <v>1.9896753472735358</v>
      </c>
      <c r="C206" s="7">
        <f t="shared" si="5"/>
        <v>0.91354545764260087</v>
      </c>
    </row>
    <row r="207" spans="1:3" x14ac:dyDescent="0.2">
      <c r="A207" s="1">
        <v>115</v>
      </c>
      <c r="B207" s="7">
        <f>RADIANS(Table1[[#This Row],[x]])</f>
        <v>2.0071286397934789</v>
      </c>
      <c r="C207" s="7">
        <f t="shared" si="5"/>
        <v>0.90630778703665005</v>
      </c>
    </row>
    <row r="208" spans="1:3" x14ac:dyDescent="0.2">
      <c r="A208" s="1">
        <v>116</v>
      </c>
      <c r="B208" s="7">
        <f>RADIANS(Table1[[#This Row],[x]])</f>
        <v>2.0245819323134224</v>
      </c>
      <c r="C208" s="7">
        <f t="shared" si="5"/>
        <v>0.89879404629916693</v>
      </c>
    </row>
    <row r="209" spans="1:3" x14ac:dyDescent="0.2">
      <c r="A209" s="1">
        <v>117</v>
      </c>
      <c r="B209" s="7">
        <f>RADIANS(Table1[[#This Row],[x]])</f>
        <v>2.0420352248333655</v>
      </c>
      <c r="C209" s="7">
        <f t="shared" si="5"/>
        <v>0.8910065241883679</v>
      </c>
    </row>
    <row r="210" spans="1:3" x14ac:dyDescent="0.2">
      <c r="A210" s="1">
        <v>118</v>
      </c>
      <c r="B210" s="7">
        <f>RADIANS(Table1[[#This Row],[x]])</f>
        <v>2.0594885173533091</v>
      </c>
      <c r="C210" s="7">
        <f t="shared" si="5"/>
        <v>0.88294759285892688</v>
      </c>
    </row>
    <row r="211" spans="1:3" x14ac:dyDescent="0.2">
      <c r="A211" s="1">
        <v>119</v>
      </c>
      <c r="B211" s="7">
        <f>RADIANS(Table1[[#This Row],[x]])</f>
        <v>2.0769418098732522</v>
      </c>
      <c r="C211" s="7">
        <f t="shared" si="5"/>
        <v>0.87461970713939585</v>
      </c>
    </row>
    <row r="212" spans="1:3" x14ac:dyDescent="0.2">
      <c r="A212" s="1">
        <v>120</v>
      </c>
      <c r="B212" s="7">
        <f>RADIANS(Table1[[#This Row],[x]])</f>
        <v>2.0943951023931953</v>
      </c>
      <c r="C212" s="7">
        <f t="shared" si="5"/>
        <v>0.86602540378443871</v>
      </c>
    </row>
    <row r="213" spans="1:3" x14ac:dyDescent="0.2">
      <c r="A213" s="1">
        <v>121</v>
      </c>
      <c r="B213" s="7">
        <f>RADIANS(Table1[[#This Row],[x]])</f>
        <v>2.1118483949131388</v>
      </c>
      <c r="C213" s="7">
        <f t="shared" si="5"/>
        <v>0.85716730070211233</v>
      </c>
    </row>
    <row r="214" spans="1:3" x14ac:dyDescent="0.2">
      <c r="A214" s="1">
        <v>122</v>
      </c>
      <c r="B214" s="7">
        <f>RADIANS(Table1[[#This Row],[x]])</f>
        <v>2.1293016874330819</v>
      </c>
      <c r="C214" s="7">
        <f t="shared" si="5"/>
        <v>0.84804809615642607</v>
      </c>
    </row>
    <row r="215" spans="1:3" x14ac:dyDescent="0.2">
      <c r="A215" s="1">
        <v>123</v>
      </c>
      <c r="B215" s="7">
        <f>RADIANS(Table1[[#This Row],[x]])</f>
        <v>2.1467549799530254</v>
      </c>
      <c r="C215" s="7">
        <f t="shared" si="5"/>
        <v>0.83867056794542394</v>
      </c>
    </row>
    <row r="216" spans="1:3" x14ac:dyDescent="0.2">
      <c r="A216" s="1">
        <v>124</v>
      </c>
      <c r="B216" s="7">
        <f>RADIANS(Table1[[#This Row],[x]])</f>
        <v>2.1642082724729685</v>
      </c>
      <c r="C216" s="7">
        <f t="shared" si="5"/>
        <v>0.82903757255504174</v>
      </c>
    </row>
    <row r="217" spans="1:3" x14ac:dyDescent="0.2">
      <c r="A217" s="1">
        <v>125</v>
      </c>
      <c r="B217" s="7">
        <f>RADIANS(Table1[[#This Row],[x]])</f>
        <v>2.1816615649929121</v>
      </c>
      <c r="C217" s="7">
        <f t="shared" si="5"/>
        <v>0.81915204428899169</v>
      </c>
    </row>
    <row r="218" spans="1:3" x14ac:dyDescent="0.2">
      <c r="A218" s="1">
        <v>126</v>
      </c>
      <c r="B218" s="7">
        <f>RADIANS(Table1[[#This Row],[x]])</f>
        <v>2.1991148575128552</v>
      </c>
      <c r="C218" s="7">
        <f t="shared" si="5"/>
        <v>0.80901699437494745</v>
      </c>
    </row>
    <row r="219" spans="1:3" x14ac:dyDescent="0.2">
      <c r="A219" s="1">
        <v>127</v>
      </c>
      <c r="B219" s="7">
        <f>RADIANS(Table1[[#This Row],[x]])</f>
        <v>2.2165681500327987</v>
      </c>
      <c r="C219" s="7">
        <f t="shared" si="5"/>
        <v>0.79863551004729272</v>
      </c>
    </row>
    <row r="220" spans="1:3" x14ac:dyDescent="0.2">
      <c r="A220" s="1">
        <v>128</v>
      </c>
      <c r="B220" s="7">
        <f>RADIANS(Table1[[#This Row],[x]])</f>
        <v>2.2340214425527418</v>
      </c>
      <c r="C220" s="7">
        <f t="shared" si="5"/>
        <v>0.78801075360672201</v>
      </c>
    </row>
    <row r="221" spans="1:3" x14ac:dyDescent="0.2">
      <c r="A221" s="1">
        <v>129</v>
      </c>
      <c r="B221" s="7">
        <f>RADIANS(Table1[[#This Row],[x]])</f>
        <v>2.2514747350726849</v>
      </c>
      <c r="C221" s="7">
        <f t="shared" si="5"/>
        <v>0.77714596145697101</v>
      </c>
    </row>
    <row r="222" spans="1:3" x14ac:dyDescent="0.2">
      <c r="A222" s="1">
        <v>130</v>
      </c>
      <c r="B222" s="7">
        <f>RADIANS(Table1[[#This Row],[x]])</f>
        <v>2.2689280275926285</v>
      </c>
      <c r="C222" s="7">
        <f t="shared" si="5"/>
        <v>0.76604444311897801</v>
      </c>
    </row>
    <row r="223" spans="1:3" x14ac:dyDescent="0.2">
      <c r="A223" s="1">
        <v>131</v>
      </c>
      <c r="B223" s="7">
        <f>RADIANS(Table1[[#This Row],[x]])</f>
        <v>2.2863813201125716</v>
      </c>
      <c r="C223" s="7">
        <f t="shared" si="5"/>
        <v>0.75470958022277213</v>
      </c>
    </row>
    <row r="224" spans="1:3" x14ac:dyDescent="0.2">
      <c r="A224" s="1">
        <v>132</v>
      </c>
      <c r="B224" s="7">
        <f>RADIANS(Table1[[#This Row],[x]])</f>
        <v>2.3038346126325151</v>
      </c>
      <c r="C224" s="7">
        <f t="shared" si="5"/>
        <v>0.74314482547739424</v>
      </c>
    </row>
    <row r="225" spans="1:3" x14ac:dyDescent="0.2">
      <c r="A225" s="1">
        <v>133</v>
      </c>
      <c r="B225" s="7">
        <f>RADIANS(Table1[[#This Row],[x]])</f>
        <v>2.3212879051524582</v>
      </c>
      <c r="C225" s="7">
        <f t="shared" si="5"/>
        <v>0.73135370161917057</v>
      </c>
    </row>
    <row r="226" spans="1:3" x14ac:dyDescent="0.2">
      <c r="A226" s="1">
        <v>134</v>
      </c>
      <c r="B226" s="7">
        <f>RADIANS(Table1[[#This Row],[x]])</f>
        <v>2.3387411976724017</v>
      </c>
      <c r="C226" s="7">
        <f t="shared" si="5"/>
        <v>0.71933980033865108</v>
      </c>
    </row>
    <row r="227" spans="1:3" x14ac:dyDescent="0.2">
      <c r="A227" s="1">
        <v>135</v>
      </c>
      <c r="B227" s="7">
        <f>RADIANS(Table1[[#This Row],[x]])</f>
        <v>2.3561944901923448</v>
      </c>
      <c r="C227" s="7">
        <f t="shared" si="5"/>
        <v>0.70710678118654757</v>
      </c>
    </row>
    <row r="228" spans="1:3" x14ac:dyDescent="0.2">
      <c r="A228" s="1">
        <v>136</v>
      </c>
      <c r="B228" s="7">
        <f>RADIANS(Table1[[#This Row],[x]])</f>
        <v>2.3736477827122884</v>
      </c>
      <c r="C228" s="7">
        <f t="shared" si="5"/>
        <v>0.69465837045899714</v>
      </c>
    </row>
    <row r="229" spans="1:3" x14ac:dyDescent="0.2">
      <c r="A229" s="1">
        <v>137</v>
      </c>
      <c r="B229" s="7">
        <f>RADIANS(Table1[[#This Row],[x]])</f>
        <v>2.3911010752322315</v>
      </c>
      <c r="C229" s="7">
        <f t="shared" si="5"/>
        <v>0.68199836006249859</v>
      </c>
    </row>
    <row r="230" spans="1:3" x14ac:dyDescent="0.2">
      <c r="A230" s="1">
        <v>138</v>
      </c>
      <c r="B230" s="7">
        <f>RADIANS(Table1[[#This Row],[x]])</f>
        <v>2.4085543677521746</v>
      </c>
      <c r="C230" s="7">
        <f t="shared" si="5"/>
        <v>0.66913060635885835</v>
      </c>
    </row>
    <row r="231" spans="1:3" x14ac:dyDescent="0.2">
      <c r="A231" s="1">
        <v>139</v>
      </c>
      <c r="B231" s="7">
        <f>RADIANS(Table1[[#This Row],[x]])</f>
        <v>2.4260076602721181</v>
      </c>
      <c r="C231" s="7">
        <f t="shared" si="5"/>
        <v>0.65605902899050728</v>
      </c>
    </row>
    <row r="232" spans="1:3" x14ac:dyDescent="0.2">
      <c r="A232" s="1">
        <v>140</v>
      </c>
      <c r="B232" s="7">
        <f>RADIANS(Table1[[#This Row],[x]])</f>
        <v>2.4434609527920612</v>
      </c>
      <c r="C232" s="7">
        <f t="shared" si="5"/>
        <v>0.64278760968653947</v>
      </c>
    </row>
    <row r="233" spans="1:3" x14ac:dyDescent="0.2">
      <c r="A233" s="1">
        <v>141</v>
      </c>
      <c r="B233" s="7">
        <f>RADIANS(Table1[[#This Row],[x]])</f>
        <v>2.4609142453120048</v>
      </c>
      <c r="C233" s="7">
        <f t="shared" si="5"/>
        <v>0.62932039104983739</v>
      </c>
    </row>
    <row r="234" spans="1:3" x14ac:dyDescent="0.2">
      <c r="A234" s="1">
        <v>142</v>
      </c>
      <c r="B234" s="7">
        <f>RADIANS(Table1[[#This Row],[x]])</f>
        <v>2.4783675378319479</v>
      </c>
      <c r="C234" s="7">
        <f t="shared" si="5"/>
        <v>0.6156614753256584</v>
      </c>
    </row>
    <row r="235" spans="1:3" x14ac:dyDescent="0.2">
      <c r="A235" s="1">
        <v>143</v>
      </c>
      <c r="B235" s="7">
        <f>RADIANS(Table1[[#This Row],[x]])</f>
        <v>2.4958208303518914</v>
      </c>
      <c r="C235" s="7">
        <f t="shared" si="5"/>
        <v>0.60181502315204816</v>
      </c>
    </row>
    <row r="236" spans="1:3" x14ac:dyDescent="0.2">
      <c r="A236" s="1">
        <v>144</v>
      </c>
      <c r="B236" s="7">
        <f>RADIANS(Table1[[#This Row],[x]])</f>
        <v>2.5132741228718345</v>
      </c>
      <c r="C236" s="7">
        <f t="shared" si="5"/>
        <v>0.58778525229247325</v>
      </c>
    </row>
    <row r="237" spans="1:3" x14ac:dyDescent="0.2">
      <c r="A237" s="1">
        <v>145</v>
      </c>
      <c r="B237" s="7">
        <f>RADIANS(Table1[[#This Row],[x]])</f>
        <v>2.530727415391778</v>
      </c>
      <c r="C237" s="7">
        <f t="shared" si="5"/>
        <v>0.57357643635104594</v>
      </c>
    </row>
    <row r="238" spans="1:3" x14ac:dyDescent="0.2">
      <c r="A238" s="1">
        <v>146</v>
      </c>
      <c r="B238" s="7">
        <f>RADIANS(Table1[[#This Row],[x]])</f>
        <v>2.5481807079117211</v>
      </c>
      <c r="C238" s="7">
        <f t="shared" si="5"/>
        <v>0.5591929034707469</v>
      </c>
    </row>
    <row r="239" spans="1:3" x14ac:dyDescent="0.2">
      <c r="A239" s="1">
        <v>147</v>
      </c>
      <c r="B239" s="7">
        <f>RADIANS(Table1[[#This Row],[x]])</f>
        <v>2.5656340004316642</v>
      </c>
      <c r="C239" s="7">
        <f t="shared" si="5"/>
        <v>0.54463903501502731</v>
      </c>
    </row>
    <row r="240" spans="1:3" x14ac:dyDescent="0.2">
      <c r="A240" s="1">
        <v>148</v>
      </c>
      <c r="B240" s="7">
        <f>RADIANS(Table1[[#This Row],[x]])</f>
        <v>2.5830872929516078</v>
      </c>
      <c r="C240" s="7">
        <f t="shared" si="5"/>
        <v>0.5299192642332049</v>
      </c>
    </row>
    <row r="241" spans="1:3" x14ac:dyDescent="0.2">
      <c r="A241" s="1">
        <v>149</v>
      </c>
      <c r="B241" s="7">
        <f>RADIANS(Table1[[#This Row],[x]])</f>
        <v>2.6005405854715509</v>
      </c>
      <c r="C241" s="7">
        <f t="shared" si="5"/>
        <v>0.51503807491005438</v>
      </c>
    </row>
    <row r="242" spans="1:3" x14ac:dyDescent="0.2">
      <c r="A242" s="1">
        <v>150</v>
      </c>
      <c r="B242" s="7">
        <f>RADIANS(Table1[[#This Row],[x]])</f>
        <v>2.6179938779914944</v>
      </c>
      <c r="C242" s="7">
        <f t="shared" si="5"/>
        <v>0.49999999999999994</v>
      </c>
    </row>
    <row r="243" spans="1:3" x14ac:dyDescent="0.2">
      <c r="A243" s="1">
        <v>151</v>
      </c>
      <c r="B243" s="7">
        <f>RADIANS(Table1[[#This Row],[x]])</f>
        <v>2.6354471705114375</v>
      </c>
      <c r="C243" s="7">
        <f t="shared" si="5"/>
        <v>0.48480962024633717</v>
      </c>
    </row>
    <row r="244" spans="1:3" x14ac:dyDescent="0.2">
      <c r="A244" s="1">
        <v>152</v>
      </c>
      <c r="B244" s="7">
        <f>RADIANS(Table1[[#This Row],[x]])</f>
        <v>2.6529004630313811</v>
      </c>
      <c r="C244" s="7">
        <f t="shared" si="5"/>
        <v>0.46947156278589069</v>
      </c>
    </row>
    <row r="245" spans="1:3" x14ac:dyDescent="0.2">
      <c r="A245" s="1">
        <v>153</v>
      </c>
      <c r="B245" s="7">
        <f>RADIANS(Table1[[#This Row],[x]])</f>
        <v>2.6703537555513241</v>
      </c>
      <c r="C245" s="7">
        <f t="shared" ref="C245:C290" si="6">SIN(B245)</f>
        <v>0.45399049973954686</v>
      </c>
    </row>
    <row r="246" spans="1:3" x14ac:dyDescent="0.2">
      <c r="A246" s="1">
        <v>154</v>
      </c>
      <c r="B246" s="7">
        <f>RADIANS(Table1[[#This Row],[x]])</f>
        <v>2.6878070480712677</v>
      </c>
      <c r="C246" s="7">
        <f t="shared" si="6"/>
        <v>0.43837114678907729</v>
      </c>
    </row>
    <row r="247" spans="1:3" x14ac:dyDescent="0.2">
      <c r="A247" s="1">
        <v>155</v>
      </c>
      <c r="B247" s="7">
        <f>RADIANS(Table1[[#This Row],[x]])</f>
        <v>2.7052603405912108</v>
      </c>
      <c r="C247" s="7">
        <f t="shared" si="6"/>
        <v>0.4226182617406995</v>
      </c>
    </row>
    <row r="248" spans="1:3" x14ac:dyDescent="0.2">
      <c r="A248" s="1">
        <v>156</v>
      </c>
      <c r="B248" s="7">
        <f>RADIANS(Table1[[#This Row],[x]])</f>
        <v>2.7227136331111539</v>
      </c>
      <c r="C248" s="7">
        <f t="shared" si="6"/>
        <v>0.40673664307580043</v>
      </c>
    </row>
    <row r="249" spans="1:3" x14ac:dyDescent="0.2">
      <c r="A249" s="1">
        <v>157</v>
      </c>
      <c r="B249" s="7">
        <f>RADIANS(Table1[[#This Row],[x]])</f>
        <v>2.7401669256310974</v>
      </c>
      <c r="C249" s="7">
        <f t="shared" si="6"/>
        <v>0.39073112848927377</v>
      </c>
    </row>
    <row r="250" spans="1:3" x14ac:dyDescent="0.2">
      <c r="A250" s="1">
        <v>158</v>
      </c>
      <c r="B250" s="7">
        <f>RADIANS(Table1[[#This Row],[x]])</f>
        <v>2.7576202181510405</v>
      </c>
      <c r="C250" s="7">
        <f t="shared" si="6"/>
        <v>0.37460659341591224</v>
      </c>
    </row>
    <row r="251" spans="1:3" x14ac:dyDescent="0.2">
      <c r="A251" s="1">
        <v>159</v>
      </c>
      <c r="B251" s="7">
        <f>RADIANS(Table1[[#This Row],[x]])</f>
        <v>2.7750735106709841</v>
      </c>
      <c r="C251" s="7">
        <f t="shared" si="6"/>
        <v>0.35836794954530021</v>
      </c>
    </row>
    <row r="252" spans="1:3" x14ac:dyDescent="0.2">
      <c r="A252" s="1">
        <v>160</v>
      </c>
      <c r="B252" s="7">
        <f>RADIANS(Table1[[#This Row],[x]])</f>
        <v>2.7925268031909272</v>
      </c>
      <c r="C252" s="7">
        <f t="shared" si="6"/>
        <v>0.34202014332566888</v>
      </c>
    </row>
    <row r="253" spans="1:3" x14ac:dyDescent="0.2">
      <c r="A253" s="1">
        <v>161</v>
      </c>
      <c r="B253" s="7">
        <f>RADIANS(Table1[[#This Row],[x]])</f>
        <v>2.8099800957108707</v>
      </c>
      <c r="C253" s="7">
        <f t="shared" si="6"/>
        <v>0.32556815445715659</v>
      </c>
    </row>
    <row r="254" spans="1:3" x14ac:dyDescent="0.2">
      <c r="A254" s="1">
        <v>162</v>
      </c>
      <c r="B254" s="7">
        <f>RADIANS(Table1[[#This Row],[x]])</f>
        <v>2.8274333882308138</v>
      </c>
      <c r="C254" s="7">
        <f t="shared" si="6"/>
        <v>0.30901699437494751</v>
      </c>
    </row>
    <row r="255" spans="1:3" x14ac:dyDescent="0.2">
      <c r="A255" s="1">
        <v>163</v>
      </c>
      <c r="B255" s="7">
        <f>RADIANS(Table1[[#This Row],[x]])</f>
        <v>2.8448866807507573</v>
      </c>
      <c r="C255" s="7">
        <f t="shared" si="6"/>
        <v>0.2923717047227366</v>
      </c>
    </row>
    <row r="256" spans="1:3" x14ac:dyDescent="0.2">
      <c r="A256" s="1">
        <v>164</v>
      </c>
      <c r="B256" s="7">
        <f>RADIANS(Table1[[#This Row],[x]])</f>
        <v>2.8623399732707004</v>
      </c>
      <c r="C256" s="7">
        <f t="shared" si="6"/>
        <v>0.27563735581699922</v>
      </c>
    </row>
    <row r="257" spans="1:3" x14ac:dyDescent="0.2">
      <c r="A257" s="1">
        <v>165</v>
      </c>
      <c r="B257" s="7">
        <f>RADIANS(Table1[[#This Row],[x]])</f>
        <v>2.8797932657906435</v>
      </c>
      <c r="C257" s="7">
        <f t="shared" si="6"/>
        <v>0.25881904510252102</v>
      </c>
    </row>
    <row r="258" spans="1:3" x14ac:dyDescent="0.2">
      <c r="A258" s="1">
        <v>166</v>
      </c>
      <c r="B258" s="7">
        <f>RADIANS(Table1[[#This Row],[x]])</f>
        <v>2.8972465583105871</v>
      </c>
      <c r="C258" s="7">
        <f t="shared" si="6"/>
        <v>0.24192189559966773</v>
      </c>
    </row>
    <row r="259" spans="1:3" x14ac:dyDescent="0.2">
      <c r="A259" s="1">
        <v>167</v>
      </c>
      <c r="B259" s="7">
        <f>RADIANS(Table1[[#This Row],[x]])</f>
        <v>2.9146998508305302</v>
      </c>
      <c r="C259" s="7">
        <f t="shared" si="6"/>
        <v>0.2249510543438652</v>
      </c>
    </row>
    <row r="260" spans="1:3" x14ac:dyDescent="0.2">
      <c r="A260" s="1">
        <v>168</v>
      </c>
      <c r="B260" s="7">
        <f>RADIANS(Table1[[#This Row],[x]])</f>
        <v>2.9321531433504737</v>
      </c>
      <c r="C260" s="7">
        <f t="shared" si="6"/>
        <v>0.20791169081775931</v>
      </c>
    </row>
    <row r="261" spans="1:3" x14ac:dyDescent="0.2">
      <c r="A261" s="1">
        <v>169</v>
      </c>
      <c r="B261" s="7">
        <f>RADIANS(Table1[[#This Row],[x]])</f>
        <v>2.9496064358704168</v>
      </c>
      <c r="C261" s="7">
        <f t="shared" si="6"/>
        <v>0.19080899537654497</v>
      </c>
    </row>
    <row r="262" spans="1:3" x14ac:dyDescent="0.2">
      <c r="A262" s="1">
        <v>170</v>
      </c>
      <c r="B262" s="7">
        <f>RADIANS(Table1[[#This Row],[x]])</f>
        <v>2.9670597283903604</v>
      </c>
      <c r="C262" s="7">
        <f t="shared" si="6"/>
        <v>0.17364817766693028</v>
      </c>
    </row>
    <row r="263" spans="1:3" x14ac:dyDescent="0.2">
      <c r="A263" s="1">
        <v>171</v>
      </c>
      <c r="B263" s="7">
        <f>RADIANS(Table1[[#This Row],[x]])</f>
        <v>2.9845130209103035</v>
      </c>
      <c r="C263" s="7">
        <f t="shared" si="6"/>
        <v>0.15643446504023098</v>
      </c>
    </row>
    <row r="264" spans="1:3" x14ac:dyDescent="0.2">
      <c r="A264" s="1">
        <v>172</v>
      </c>
      <c r="B264" s="7">
        <f>RADIANS(Table1[[#This Row],[x]])</f>
        <v>3.001966313430247</v>
      </c>
      <c r="C264" s="7">
        <f t="shared" si="6"/>
        <v>0.13917310096006533</v>
      </c>
    </row>
    <row r="265" spans="1:3" x14ac:dyDescent="0.2">
      <c r="A265" s="1">
        <v>173</v>
      </c>
      <c r="B265" s="7">
        <f>RADIANS(Table1[[#This Row],[x]])</f>
        <v>3.0194196059501901</v>
      </c>
      <c r="C265" s="7">
        <f t="shared" si="6"/>
        <v>0.12186934340514755</v>
      </c>
    </row>
    <row r="266" spans="1:3" x14ac:dyDescent="0.2">
      <c r="A266" s="1">
        <v>174</v>
      </c>
      <c r="B266" s="7">
        <f>RADIANS(Table1[[#This Row],[x]])</f>
        <v>3.0368728984701332</v>
      </c>
      <c r="C266" s="7">
        <f t="shared" si="6"/>
        <v>0.10452846326765373</v>
      </c>
    </row>
    <row r="267" spans="1:3" x14ac:dyDescent="0.2">
      <c r="A267" s="1">
        <v>175</v>
      </c>
      <c r="B267" s="7">
        <f>RADIANS(Table1[[#This Row],[x]])</f>
        <v>3.0543261909900767</v>
      </c>
      <c r="C267" s="7">
        <f t="shared" si="6"/>
        <v>8.7155742747658194E-2</v>
      </c>
    </row>
    <row r="268" spans="1:3" x14ac:dyDescent="0.2">
      <c r="A268" s="1">
        <v>176</v>
      </c>
      <c r="B268" s="7">
        <f>RADIANS(Table1[[#This Row],[x]])</f>
        <v>3.0717794835100198</v>
      </c>
      <c r="C268" s="7">
        <f t="shared" si="6"/>
        <v>6.9756473744125524E-2</v>
      </c>
    </row>
    <row r="269" spans="1:3" x14ac:dyDescent="0.2">
      <c r="A269" s="1">
        <v>177</v>
      </c>
      <c r="B269" s="7">
        <f>RADIANS(Table1[[#This Row],[x]])</f>
        <v>3.0892327760299634</v>
      </c>
      <c r="C269" s="7">
        <f t="shared" si="6"/>
        <v>5.2335956242943807E-2</v>
      </c>
    </row>
    <row r="270" spans="1:3" x14ac:dyDescent="0.2">
      <c r="A270" s="1">
        <v>178</v>
      </c>
      <c r="B270" s="7">
        <f>RADIANS(Table1[[#This Row],[x]])</f>
        <v>3.1066860685499065</v>
      </c>
      <c r="C270" s="7">
        <f t="shared" si="6"/>
        <v>3.4899496702501143E-2</v>
      </c>
    </row>
    <row r="271" spans="1:3" x14ac:dyDescent="0.2">
      <c r="A271" s="1">
        <v>179</v>
      </c>
      <c r="B271" s="7">
        <f>RADIANS(Table1[[#This Row],[x]])</f>
        <v>3.12413936106985</v>
      </c>
      <c r="C271" s="7">
        <f t="shared" si="6"/>
        <v>1.7452406437283439E-2</v>
      </c>
    </row>
    <row r="272" spans="1:3" x14ac:dyDescent="0.2">
      <c r="A272" s="1">
        <v>180</v>
      </c>
      <c r="B272" s="7">
        <f>RADIANS(Table1[[#This Row],[x]])</f>
        <v>3.1415926535897931</v>
      </c>
      <c r="C272" s="7">
        <f t="shared" si="6"/>
        <v>1.22514845490862E-16</v>
      </c>
    </row>
    <row r="273" spans="1:3" x14ac:dyDescent="0.2">
      <c r="A273" s="1">
        <v>181</v>
      </c>
      <c r="B273" s="7">
        <f>RADIANS(Table1[[#This Row],[x]])</f>
        <v>3.1590459461097367</v>
      </c>
      <c r="C273" s="7">
        <f t="shared" si="6"/>
        <v>-1.7452406437283637E-2</v>
      </c>
    </row>
    <row r="274" spans="1:3" x14ac:dyDescent="0.2">
      <c r="A274" s="1">
        <v>182</v>
      </c>
      <c r="B274" s="7">
        <f>RADIANS(Table1[[#This Row],[x]])</f>
        <v>3.1764992386296798</v>
      </c>
      <c r="C274" s="7">
        <f t="shared" si="6"/>
        <v>-3.48994967025009E-2</v>
      </c>
    </row>
    <row r="275" spans="1:3" x14ac:dyDescent="0.2">
      <c r="A275" s="1">
        <v>183</v>
      </c>
      <c r="B275" s="7">
        <f>RADIANS(Table1[[#This Row],[x]])</f>
        <v>3.1939525311496229</v>
      </c>
      <c r="C275" s="7">
        <f t="shared" si="6"/>
        <v>-5.2335956242943557E-2</v>
      </c>
    </row>
    <row r="276" spans="1:3" x14ac:dyDescent="0.2">
      <c r="A276" s="1">
        <v>184</v>
      </c>
      <c r="B276" s="7">
        <f>RADIANS(Table1[[#This Row],[x]])</f>
        <v>3.2114058236695664</v>
      </c>
      <c r="C276" s="7">
        <f t="shared" si="6"/>
        <v>-6.9756473744125275E-2</v>
      </c>
    </row>
    <row r="277" spans="1:3" x14ac:dyDescent="0.2">
      <c r="A277" s="1">
        <v>185</v>
      </c>
      <c r="B277" s="7">
        <f>RADIANS(Table1[[#This Row],[x]])</f>
        <v>3.2288591161895095</v>
      </c>
      <c r="C277" s="7">
        <f t="shared" si="6"/>
        <v>-8.7155742747657944E-2</v>
      </c>
    </row>
    <row r="278" spans="1:3" x14ac:dyDescent="0.2">
      <c r="A278" s="1">
        <v>186</v>
      </c>
      <c r="B278" s="7">
        <f>RADIANS(Table1[[#This Row],[x]])</f>
        <v>3.246312408709453</v>
      </c>
      <c r="C278" s="7">
        <f t="shared" si="6"/>
        <v>-0.1045284632676535</v>
      </c>
    </row>
    <row r="279" spans="1:3" x14ac:dyDescent="0.2">
      <c r="A279" s="1">
        <v>187</v>
      </c>
      <c r="B279" s="7">
        <f>RADIANS(Table1[[#This Row],[x]])</f>
        <v>3.2637657012293961</v>
      </c>
      <c r="C279" s="7">
        <f t="shared" si="6"/>
        <v>-0.12186934340514731</v>
      </c>
    </row>
    <row r="280" spans="1:3" x14ac:dyDescent="0.2">
      <c r="A280" s="1">
        <v>188</v>
      </c>
      <c r="B280" s="7">
        <f>RADIANS(Table1[[#This Row],[x]])</f>
        <v>3.2812189937493397</v>
      </c>
      <c r="C280" s="7">
        <f t="shared" si="6"/>
        <v>-0.13917310096006552</v>
      </c>
    </row>
    <row r="281" spans="1:3" x14ac:dyDescent="0.2">
      <c r="A281" s="1">
        <v>189</v>
      </c>
      <c r="B281" s="7">
        <f>RADIANS(Table1[[#This Row],[x]])</f>
        <v>3.2986722862692828</v>
      </c>
      <c r="C281" s="7">
        <f t="shared" si="6"/>
        <v>-0.15643446504023073</v>
      </c>
    </row>
    <row r="282" spans="1:3" x14ac:dyDescent="0.2">
      <c r="A282" s="1">
        <v>190</v>
      </c>
      <c r="B282" s="7">
        <f>RADIANS(Table1[[#This Row],[x]])</f>
        <v>3.3161255787892263</v>
      </c>
      <c r="C282" s="7">
        <f t="shared" si="6"/>
        <v>-0.17364817766693047</v>
      </c>
    </row>
    <row r="283" spans="1:3" x14ac:dyDescent="0.2">
      <c r="A283" s="1">
        <v>191</v>
      </c>
      <c r="B283" s="7">
        <f>RADIANS(Table1[[#This Row],[x]])</f>
        <v>3.3335788713091694</v>
      </c>
      <c r="C283" s="7">
        <f t="shared" si="6"/>
        <v>-0.19080899537654472</v>
      </c>
    </row>
    <row r="284" spans="1:3" x14ac:dyDescent="0.2">
      <c r="A284" s="1">
        <v>192</v>
      </c>
      <c r="B284" s="7">
        <f>RADIANS(Table1[[#This Row],[x]])</f>
        <v>3.351032163829113</v>
      </c>
      <c r="C284" s="7">
        <f t="shared" si="6"/>
        <v>-0.20791169081775951</v>
      </c>
    </row>
    <row r="285" spans="1:3" x14ac:dyDescent="0.2">
      <c r="A285" s="1">
        <v>193</v>
      </c>
      <c r="B285" s="7">
        <f>RADIANS(Table1[[#This Row],[x]])</f>
        <v>3.3684854563490561</v>
      </c>
      <c r="C285" s="7">
        <f t="shared" si="6"/>
        <v>-0.22495105434386498</v>
      </c>
    </row>
    <row r="286" spans="1:3" x14ac:dyDescent="0.2">
      <c r="A286" s="1">
        <v>194</v>
      </c>
      <c r="B286" s="7">
        <f>RADIANS(Table1[[#This Row],[x]])</f>
        <v>3.3859387488689991</v>
      </c>
      <c r="C286" s="7">
        <f t="shared" si="6"/>
        <v>-0.24192189559966751</v>
      </c>
    </row>
    <row r="287" spans="1:3" x14ac:dyDescent="0.2">
      <c r="A287" s="1">
        <v>195</v>
      </c>
      <c r="B287" s="7">
        <f>RADIANS(Table1[[#This Row],[x]])</f>
        <v>3.4033920413889427</v>
      </c>
      <c r="C287" s="7">
        <f t="shared" si="6"/>
        <v>-0.25881904510252079</v>
      </c>
    </row>
    <row r="288" spans="1:3" x14ac:dyDescent="0.2">
      <c r="A288" s="1">
        <v>196</v>
      </c>
      <c r="B288" s="7">
        <f>RADIANS(Table1[[#This Row],[x]])</f>
        <v>3.4208453339088858</v>
      </c>
      <c r="C288" s="7">
        <f t="shared" si="6"/>
        <v>-0.275637355816999</v>
      </c>
    </row>
    <row r="289" spans="1:3" x14ac:dyDescent="0.2">
      <c r="A289" s="1">
        <v>197</v>
      </c>
      <c r="B289" s="7">
        <f>RADIANS(Table1[[#This Row],[x]])</f>
        <v>3.4382986264288293</v>
      </c>
      <c r="C289" s="7">
        <f t="shared" si="6"/>
        <v>-0.29237170472273677</v>
      </c>
    </row>
    <row r="290" spans="1:3" x14ac:dyDescent="0.2">
      <c r="A290" s="1">
        <v>198</v>
      </c>
      <c r="B290" s="7">
        <f>RADIANS(Table1[[#This Row],[x]])</f>
        <v>3.4557519189487724</v>
      </c>
      <c r="C290" s="7">
        <f t="shared" si="6"/>
        <v>-0.30901699437494728</v>
      </c>
    </row>
    <row r="291" spans="1:3" x14ac:dyDescent="0.2">
      <c r="A291" s="1">
        <v>199</v>
      </c>
      <c r="B291" s="7">
        <f>RADIANS(Table1[[#This Row],[x]])</f>
        <v>3.473205211468716</v>
      </c>
      <c r="C291" s="7">
        <f t="shared" ref="C291:C322" si="7">SIN(B291)</f>
        <v>-0.32556815445715676</v>
      </c>
    </row>
    <row r="292" spans="1:3" x14ac:dyDescent="0.2">
      <c r="A292" s="1">
        <v>200</v>
      </c>
      <c r="B292" s="7">
        <f>RADIANS(Table1[[#This Row],[x]])</f>
        <v>3.4906585039886591</v>
      </c>
      <c r="C292" s="7">
        <f t="shared" si="7"/>
        <v>-0.34202014332566866</v>
      </c>
    </row>
    <row r="293" spans="1:3" x14ac:dyDescent="0.2">
      <c r="A293" s="1">
        <v>201</v>
      </c>
      <c r="B293" s="7">
        <f>RADIANS(Table1[[#This Row],[x]])</f>
        <v>3.5081117965086026</v>
      </c>
      <c r="C293" s="7">
        <f t="shared" si="7"/>
        <v>-0.35836794954530043</v>
      </c>
    </row>
    <row r="294" spans="1:3" x14ac:dyDescent="0.2">
      <c r="A294" s="1">
        <v>202</v>
      </c>
      <c r="B294" s="7">
        <f>RADIANS(Table1[[#This Row],[x]])</f>
        <v>3.5255650890285457</v>
      </c>
      <c r="C294" s="7">
        <f t="shared" si="7"/>
        <v>-0.37460659341591201</v>
      </c>
    </row>
    <row r="295" spans="1:3" x14ac:dyDescent="0.2">
      <c r="A295" s="1">
        <v>203</v>
      </c>
      <c r="B295" s="7">
        <f>RADIANS(Table1[[#This Row],[x]])</f>
        <v>3.5430183815484888</v>
      </c>
      <c r="C295" s="7">
        <f t="shared" si="7"/>
        <v>-0.39073112848927355</v>
      </c>
    </row>
    <row r="296" spans="1:3" x14ac:dyDescent="0.2">
      <c r="A296" s="1">
        <v>204</v>
      </c>
      <c r="B296" s="7">
        <f>RADIANS(Table1[[#This Row],[x]])</f>
        <v>3.5604716740684323</v>
      </c>
      <c r="C296" s="7">
        <f t="shared" si="7"/>
        <v>-0.40673664307580021</v>
      </c>
    </row>
    <row r="297" spans="1:3" x14ac:dyDescent="0.2">
      <c r="A297" s="1">
        <v>205</v>
      </c>
      <c r="B297" s="7">
        <f>RADIANS(Table1[[#This Row],[x]])</f>
        <v>3.5779249665883754</v>
      </c>
      <c r="C297" s="7">
        <f t="shared" si="7"/>
        <v>-0.42261826174069927</v>
      </c>
    </row>
    <row r="298" spans="1:3" x14ac:dyDescent="0.2">
      <c r="A298" s="1">
        <v>206</v>
      </c>
      <c r="B298" s="7">
        <f>RADIANS(Table1[[#This Row],[x]])</f>
        <v>3.595378259108319</v>
      </c>
      <c r="C298" s="7">
        <f t="shared" si="7"/>
        <v>-0.43837114678907746</v>
      </c>
    </row>
    <row r="299" spans="1:3" x14ac:dyDescent="0.2">
      <c r="A299" s="1">
        <v>207</v>
      </c>
      <c r="B299" s="7">
        <f>RADIANS(Table1[[#This Row],[x]])</f>
        <v>3.6128315516282621</v>
      </c>
      <c r="C299" s="7">
        <f t="shared" si="7"/>
        <v>-0.45399049973954669</v>
      </c>
    </row>
    <row r="300" spans="1:3" x14ac:dyDescent="0.2">
      <c r="A300" s="1">
        <v>208</v>
      </c>
      <c r="B300" s="7">
        <f>RADIANS(Table1[[#This Row],[x]])</f>
        <v>3.6302848441482056</v>
      </c>
      <c r="C300" s="7">
        <f t="shared" si="7"/>
        <v>-0.46947156278589086</v>
      </c>
    </row>
    <row r="301" spans="1:3" x14ac:dyDescent="0.2">
      <c r="A301" s="1">
        <v>209</v>
      </c>
      <c r="B301" s="7">
        <f>RADIANS(Table1[[#This Row],[x]])</f>
        <v>3.6477381366681487</v>
      </c>
      <c r="C301" s="7">
        <f t="shared" si="7"/>
        <v>-0.48480962024633695</v>
      </c>
    </row>
    <row r="302" spans="1:3" x14ac:dyDescent="0.2">
      <c r="A302" s="1">
        <v>210</v>
      </c>
      <c r="B302" s="7">
        <f>RADIANS(Table1[[#This Row],[x]])</f>
        <v>3.6651914291880923</v>
      </c>
      <c r="C302" s="7">
        <f t="shared" si="7"/>
        <v>-0.50000000000000011</v>
      </c>
    </row>
    <row r="303" spans="1:3" x14ac:dyDescent="0.2">
      <c r="A303" s="1">
        <v>211</v>
      </c>
      <c r="B303" s="7">
        <f>RADIANS(Table1[[#This Row],[x]])</f>
        <v>3.6826447217080354</v>
      </c>
      <c r="C303" s="7">
        <f t="shared" si="7"/>
        <v>-0.51503807491005416</v>
      </c>
    </row>
    <row r="304" spans="1:3" x14ac:dyDescent="0.2">
      <c r="A304" s="1">
        <v>212</v>
      </c>
      <c r="B304" s="7">
        <f>RADIANS(Table1[[#This Row],[x]])</f>
        <v>3.7000980142279785</v>
      </c>
      <c r="C304" s="7">
        <f t="shared" si="7"/>
        <v>-0.52991926423320479</v>
      </c>
    </row>
    <row r="305" spans="1:3" x14ac:dyDescent="0.2">
      <c r="A305" s="1">
        <v>213</v>
      </c>
      <c r="B305" s="7">
        <f>RADIANS(Table1[[#This Row],[x]])</f>
        <v>3.717551306747922</v>
      </c>
      <c r="C305" s="7">
        <f t="shared" si="7"/>
        <v>-0.54463903501502708</v>
      </c>
    </row>
    <row r="306" spans="1:3" x14ac:dyDescent="0.2">
      <c r="A306" s="1">
        <v>214</v>
      </c>
      <c r="B306" s="7">
        <f>RADIANS(Table1[[#This Row],[x]])</f>
        <v>3.7350045992678651</v>
      </c>
      <c r="C306" s="7">
        <f t="shared" si="7"/>
        <v>-0.55919290347074668</v>
      </c>
    </row>
    <row r="307" spans="1:3" x14ac:dyDescent="0.2">
      <c r="A307" s="1">
        <v>215</v>
      </c>
      <c r="B307" s="7">
        <f>RADIANS(Table1[[#This Row],[x]])</f>
        <v>3.7524578917878086</v>
      </c>
      <c r="C307" s="7">
        <f t="shared" si="7"/>
        <v>-0.57357643635104616</v>
      </c>
    </row>
    <row r="308" spans="1:3" x14ac:dyDescent="0.2">
      <c r="A308" s="1">
        <v>216</v>
      </c>
      <c r="B308" s="7">
        <f>RADIANS(Table1[[#This Row],[x]])</f>
        <v>3.7699111843077517</v>
      </c>
      <c r="C308" s="7">
        <f t="shared" si="7"/>
        <v>-0.58778525229247303</v>
      </c>
    </row>
    <row r="309" spans="1:3" x14ac:dyDescent="0.2">
      <c r="A309" s="1">
        <v>217</v>
      </c>
      <c r="B309" s="7">
        <f>RADIANS(Table1[[#This Row],[x]])</f>
        <v>3.7873644768276953</v>
      </c>
      <c r="C309" s="7">
        <f t="shared" si="7"/>
        <v>-0.60181502315204838</v>
      </c>
    </row>
    <row r="310" spans="1:3" x14ac:dyDescent="0.2">
      <c r="A310" s="1">
        <v>218</v>
      </c>
      <c r="B310" s="7">
        <f>RADIANS(Table1[[#This Row],[x]])</f>
        <v>3.8048177693476384</v>
      </c>
      <c r="C310" s="7">
        <f t="shared" si="7"/>
        <v>-0.61566147532565818</v>
      </c>
    </row>
    <row r="311" spans="1:3" x14ac:dyDescent="0.2">
      <c r="A311" s="1">
        <v>219</v>
      </c>
      <c r="B311" s="7">
        <f>RADIANS(Table1[[#This Row],[x]])</f>
        <v>3.8222710618675819</v>
      </c>
      <c r="C311" s="7">
        <f t="shared" si="7"/>
        <v>-0.62932039104983761</v>
      </c>
    </row>
    <row r="312" spans="1:3" x14ac:dyDescent="0.2">
      <c r="A312" s="1">
        <v>220</v>
      </c>
      <c r="B312" s="7">
        <f>RADIANS(Table1[[#This Row],[x]])</f>
        <v>3.839724354387525</v>
      </c>
      <c r="C312" s="7">
        <f t="shared" si="7"/>
        <v>-0.64278760968653925</v>
      </c>
    </row>
    <row r="313" spans="1:3" x14ac:dyDescent="0.2">
      <c r="A313" s="1">
        <v>221</v>
      </c>
      <c r="B313" s="7">
        <f>RADIANS(Table1[[#This Row],[x]])</f>
        <v>3.8571776469074681</v>
      </c>
      <c r="C313" s="7">
        <f t="shared" si="7"/>
        <v>-0.65605902899050705</v>
      </c>
    </row>
    <row r="314" spans="1:3" x14ac:dyDescent="0.2">
      <c r="A314" s="1">
        <v>222</v>
      </c>
      <c r="B314" s="7">
        <f>RADIANS(Table1[[#This Row],[x]])</f>
        <v>3.8746309394274117</v>
      </c>
      <c r="C314" s="7">
        <f t="shared" si="7"/>
        <v>-0.66913060635885824</v>
      </c>
    </row>
    <row r="315" spans="1:3" x14ac:dyDescent="0.2">
      <c r="A315" s="1">
        <v>223</v>
      </c>
      <c r="B315" s="7">
        <f>RADIANS(Table1[[#This Row],[x]])</f>
        <v>3.8920842319473548</v>
      </c>
      <c r="C315" s="7">
        <f t="shared" si="7"/>
        <v>-0.68199836006249837</v>
      </c>
    </row>
    <row r="316" spans="1:3" x14ac:dyDescent="0.2">
      <c r="A316" s="1">
        <v>224</v>
      </c>
      <c r="B316" s="7">
        <f>RADIANS(Table1[[#This Row],[x]])</f>
        <v>3.9095375244672983</v>
      </c>
      <c r="C316" s="7">
        <f t="shared" si="7"/>
        <v>-0.69465837045899737</v>
      </c>
    </row>
    <row r="317" spans="1:3" x14ac:dyDescent="0.2">
      <c r="A317" s="1">
        <v>225</v>
      </c>
      <c r="B317" s="7">
        <f>RADIANS(Table1[[#This Row],[x]])</f>
        <v>3.9269908169872414</v>
      </c>
      <c r="C317" s="7">
        <f t="shared" si="7"/>
        <v>-0.70710678118654746</v>
      </c>
    </row>
    <row r="318" spans="1:3" x14ac:dyDescent="0.2">
      <c r="A318" s="1">
        <v>226</v>
      </c>
      <c r="B318" s="7">
        <f>RADIANS(Table1[[#This Row],[x]])</f>
        <v>3.9444441095071849</v>
      </c>
      <c r="C318" s="7">
        <f t="shared" si="7"/>
        <v>-0.71933980033865119</v>
      </c>
    </row>
    <row r="319" spans="1:3" x14ac:dyDescent="0.2">
      <c r="A319" s="1">
        <v>227</v>
      </c>
      <c r="B319" s="7">
        <f>RADIANS(Table1[[#This Row],[x]])</f>
        <v>3.961897402027128</v>
      </c>
      <c r="C319" s="7">
        <f t="shared" si="7"/>
        <v>-0.73135370161917046</v>
      </c>
    </row>
    <row r="320" spans="1:3" x14ac:dyDescent="0.2">
      <c r="A320" s="1">
        <v>228</v>
      </c>
      <c r="B320" s="7">
        <f>RADIANS(Table1[[#This Row],[x]])</f>
        <v>3.9793506945470716</v>
      </c>
      <c r="C320" s="7">
        <f t="shared" si="7"/>
        <v>-0.74314482547739436</v>
      </c>
    </row>
    <row r="321" spans="1:3" x14ac:dyDescent="0.2">
      <c r="A321" s="1">
        <v>229</v>
      </c>
      <c r="B321" s="7">
        <f>RADIANS(Table1[[#This Row],[x]])</f>
        <v>3.9968039870670147</v>
      </c>
      <c r="C321" s="7">
        <f t="shared" si="7"/>
        <v>-0.75470958022277201</v>
      </c>
    </row>
    <row r="322" spans="1:3" x14ac:dyDescent="0.2">
      <c r="A322" s="1">
        <v>230</v>
      </c>
      <c r="B322" s="7">
        <f>RADIANS(Table1[[#This Row],[x]])</f>
        <v>4.0142572795869578</v>
      </c>
      <c r="C322" s="7">
        <f t="shared" si="7"/>
        <v>-0.7660444431189779</v>
      </c>
    </row>
    <row r="323" spans="1:3" x14ac:dyDescent="0.2">
      <c r="A323" s="1">
        <v>231</v>
      </c>
      <c r="B323" s="7">
        <f>RADIANS(Table1[[#This Row],[x]])</f>
        <v>4.0317105721069009</v>
      </c>
      <c r="C323" s="7">
        <f t="shared" ref="C323:C354" si="8">SIN(B323)</f>
        <v>-0.77714596145697057</v>
      </c>
    </row>
    <row r="324" spans="1:3" x14ac:dyDescent="0.2">
      <c r="A324" s="1">
        <v>232</v>
      </c>
      <c r="B324" s="7">
        <f>RADIANS(Table1[[#This Row],[x]])</f>
        <v>4.0491638646268449</v>
      </c>
      <c r="C324" s="7">
        <f t="shared" si="8"/>
        <v>-0.78801075360672213</v>
      </c>
    </row>
    <row r="325" spans="1:3" x14ac:dyDescent="0.2">
      <c r="A325" s="1">
        <v>233</v>
      </c>
      <c r="B325" s="7">
        <f>RADIANS(Table1[[#This Row],[x]])</f>
        <v>4.066617157146788</v>
      </c>
      <c r="C325" s="7">
        <f t="shared" si="8"/>
        <v>-0.79863551004729283</v>
      </c>
    </row>
    <row r="326" spans="1:3" x14ac:dyDescent="0.2">
      <c r="A326" s="1">
        <v>234</v>
      </c>
      <c r="B326" s="7">
        <f>RADIANS(Table1[[#This Row],[x]])</f>
        <v>4.0840704496667311</v>
      </c>
      <c r="C326" s="7">
        <f t="shared" si="8"/>
        <v>-0.80901699437494734</v>
      </c>
    </row>
    <row r="327" spans="1:3" x14ac:dyDescent="0.2">
      <c r="A327" s="1">
        <v>235</v>
      </c>
      <c r="B327" s="7">
        <f>RADIANS(Table1[[#This Row],[x]])</f>
        <v>4.1015237421866741</v>
      </c>
      <c r="C327" s="7">
        <f t="shared" si="8"/>
        <v>-0.81915204428899158</v>
      </c>
    </row>
    <row r="328" spans="1:3" x14ac:dyDescent="0.2">
      <c r="A328" s="1">
        <v>236</v>
      </c>
      <c r="B328" s="7">
        <f>RADIANS(Table1[[#This Row],[x]])</f>
        <v>4.1189770347066181</v>
      </c>
      <c r="C328" s="7">
        <f t="shared" si="8"/>
        <v>-0.82903757255504185</v>
      </c>
    </row>
    <row r="329" spans="1:3" x14ac:dyDescent="0.2">
      <c r="A329" s="1">
        <v>237</v>
      </c>
      <c r="B329" s="7">
        <f>RADIANS(Table1[[#This Row],[x]])</f>
        <v>4.1364303272265612</v>
      </c>
      <c r="C329" s="7">
        <f t="shared" si="8"/>
        <v>-0.83867056794542405</v>
      </c>
    </row>
    <row r="330" spans="1:3" x14ac:dyDescent="0.2">
      <c r="A330" s="1">
        <v>238</v>
      </c>
      <c r="B330" s="7">
        <f>RADIANS(Table1[[#This Row],[x]])</f>
        <v>4.1538836197465043</v>
      </c>
      <c r="C330" s="7">
        <f t="shared" si="8"/>
        <v>-0.84804809615642596</v>
      </c>
    </row>
    <row r="331" spans="1:3" x14ac:dyDescent="0.2">
      <c r="A331" s="1">
        <v>239</v>
      </c>
      <c r="B331" s="7">
        <f>RADIANS(Table1[[#This Row],[x]])</f>
        <v>4.1713369122664474</v>
      </c>
      <c r="C331" s="7">
        <f t="shared" si="8"/>
        <v>-0.85716730070211211</v>
      </c>
    </row>
    <row r="332" spans="1:3" x14ac:dyDescent="0.2">
      <c r="A332" s="1">
        <v>240</v>
      </c>
      <c r="B332" s="7">
        <f>RADIANS(Table1[[#This Row],[x]])</f>
        <v>4.1887902047863905</v>
      </c>
      <c r="C332" s="7">
        <f t="shared" si="8"/>
        <v>-0.86602540378443837</v>
      </c>
    </row>
    <row r="333" spans="1:3" x14ac:dyDescent="0.2">
      <c r="A333" s="1">
        <v>241</v>
      </c>
      <c r="B333" s="7">
        <f>RADIANS(Table1[[#This Row],[x]])</f>
        <v>4.2062434973063345</v>
      </c>
      <c r="C333" s="7">
        <f t="shared" si="8"/>
        <v>-0.87461970713939596</v>
      </c>
    </row>
    <row r="334" spans="1:3" x14ac:dyDescent="0.2">
      <c r="A334" s="1">
        <v>242</v>
      </c>
      <c r="B334" s="7">
        <f>RADIANS(Table1[[#This Row],[x]])</f>
        <v>4.2236967898262776</v>
      </c>
      <c r="C334" s="7">
        <f t="shared" si="8"/>
        <v>-0.88294759285892699</v>
      </c>
    </row>
    <row r="335" spans="1:3" x14ac:dyDescent="0.2">
      <c r="A335" s="1">
        <v>243</v>
      </c>
      <c r="B335" s="7">
        <f>RADIANS(Table1[[#This Row],[x]])</f>
        <v>4.2411500823462207</v>
      </c>
      <c r="C335" s="7">
        <f t="shared" si="8"/>
        <v>-0.89100652418836779</v>
      </c>
    </row>
    <row r="336" spans="1:3" x14ac:dyDescent="0.2">
      <c r="A336" s="1">
        <v>244</v>
      </c>
      <c r="B336" s="7">
        <f>RADIANS(Table1[[#This Row],[x]])</f>
        <v>4.2586033748661638</v>
      </c>
      <c r="C336" s="7">
        <f t="shared" si="8"/>
        <v>-0.89879404629916682</v>
      </c>
    </row>
    <row r="337" spans="1:3" x14ac:dyDescent="0.2">
      <c r="A337" s="1">
        <v>245</v>
      </c>
      <c r="B337" s="7">
        <f>RADIANS(Table1[[#This Row],[x]])</f>
        <v>4.2760566673861078</v>
      </c>
      <c r="C337" s="7">
        <f t="shared" si="8"/>
        <v>-0.90630778703665005</v>
      </c>
    </row>
    <row r="338" spans="1:3" x14ac:dyDescent="0.2">
      <c r="A338" s="1">
        <v>246</v>
      </c>
      <c r="B338" s="7">
        <f>RADIANS(Table1[[#This Row],[x]])</f>
        <v>4.2935099599060509</v>
      </c>
      <c r="C338" s="7">
        <f t="shared" si="8"/>
        <v>-0.91354545764260098</v>
      </c>
    </row>
    <row r="339" spans="1:3" x14ac:dyDescent="0.2">
      <c r="A339" s="1">
        <v>247</v>
      </c>
      <c r="B339" s="7">
        <f>RADIANS(Table1[[#This Row],[x]])</f>
        <v>4.310963252425994</v>
      </c>
      <c r="C339" s="7">
        <f t="shared" si="8"/>
        <v>-0.92050485345244026</v>
      </c>
    </row>
    <row r="340" spans="1:3" x14ac:dyDescent="0.2">
      <c r="A340" s="1">
        <v>248</v>
      </c>
      <c r="B340" s="7">
        <f>RADIANS(Table1[[#This Row],[x]])</f>
        <v>4.3284165449459371</v>
      </c>
      <c r="C340" s="7">
        <f t="shared" si="8"/>
        <v>-0.92718385456678731</v>
      </c>
    </row>
    <row r="341" spans="1:3" x14ac:dyDescent="0.2">
      <c r="A341" s="1">
        <v>249</v>
      </c>
      <c r="B341" s="7">
        <f>RADIANS(Table1[[#This Row],[x]])</f>
        <v>4.3458698374658802</v>
      </c>
      <c r="C341" s="7">
        <f t="shared" si="8"/>
        <v>-0.93358042649720163</v>
      </c>
    </row>
    <row r="342" spans="1:3" x14ac:dyDescent="0.2">
      <c r="A342" s="1">
        <v>250</v>
      </c>
      <c r="B342" s="7">
        <f>RADIANS(Table1[[#This Row],[x]])</f>
        <v>4.3633231299858242</v>
      </c>
      <c r="C342" s="7">
        <f t="shared" si="8"/>
        <v>-0.93969262078590843</v>
      </c>
    </row>
    <row r="343" spans="1:3" x14ac:dyDescent="0.2">
      <c r="A343" s="1">
        <v>251</v>
      </c>
      <c r="B343" s="7">
        <f>RADIANS(Table1[[#This Row],[x]])</f>
        <v>4.3807764225057673</v>
      </c>
      <c r="C343" s="7">
        <f t="shared" si="8"/>
        <v>-0.94551857559931685</v>
      </c>
    </row>
    <row r="344" spans="1:3" x14ac:dyDescent="0.2">
      <c r="A344" s="1">
        <v>252</v>
      </c>
      <c r="B344" s="7">
        <f>RADIANS(Table1[[#This Row],[x]])</f>
        <v>4.3982297150257104</v>
      </c>
      <c r="C344" s="7">
        <f t="shared" si="8"/>
        <v>-0.95105651629515353</v>
      </c>
    </row>
    <row r="345" spans="1:3" x14ac:dyDescent="0.2">
      <c r="A345" s="1">
        <v>253</v>
      </c>
      <c r="B345" s="7">
        <f>RADIANS(Table1[[#This Row],[x]])</f>
        <v>4.4156830075456535</v>
      </c>
      <c r="C345" s="7">
        <f t="shared" si="8"/>
        <v>-0.95630475596303532</v>
      </c>
    </row>
    <row r="346" spans="1:3" x14ac:dyDescent="0.2">
      <c r="A346" s="1">
        <v>254</v>
      </c>
      <c r="B346" s="7">
        <f>RADIANS(Table1[[#This Row],[x]])</f>
        <v>4.4331363000655974</v>
      </c>
      <c r="C346" s="7">
        <f t="shared" si="8"/>
        <v>-0.96126169593831901</v>
      </c>
    </row>
    <row r="347" spans="1:3" x14ac:dyDescent="0.2">
      <c r="A347" s="1">
        <v>255</v>
      </c>
      <c r="B347" s="7">
        <f>RADIANS(Table1[[#This Row],[x]])</f>
        <v>4.4505895925855405</v>
      </c>
      <c r="C347" s="7">
        <f t="shared" si="8"/>
        <v>-0.96592582628906831</v>
      </c>
    </row>
    <row r="348" spans="1:3" x14ac:dyDescent="0.2">
      <c r="A348" s="1">
        <v>256</v>
      </c>
      <c r="B348" s="7">
        <f>RADIANS(Table1[[#This Row],[x]])</f>
        <v>4.4680428851054836</v>
      </c>
      <c r="C348" s="7">
        <f t="shared" si="8"/>
        <v>-0.97029572627599647</v>
      </c>
    </row>
    <row r="349" spans="1:3" x14ac:dyDescent="0.2">
      <c r="A349" s="1">
        <v>257</v>
      </c>
      <c r="B349" s="7">
        <f>RADIANS(Table1[[#This Row],[x]])</f>
        <v>4.4854961776254267</v>
      </c>
      <c r="C349" s="7">
        <f t="shared" si="8"/>
        <v>-0.97437006478523513</v>
      </c>
    </row>
    <row r="350" spans="1:3" x14ac:dyDescent="0.2">
      <c r="A350" s="1">
        <v>258</v>
      </c>
      <c r="B350" s="7">
        <f>RADIANS(Table1[[#This Row],[x]])</f>
        <v>4.5029494701453698</v>
      </c>
      <c r="C350" s="7">
        <f t="shared" si="8"/>
        <v>-0.97814760073380558</v>
      </c>
    </row>
    <row r="351" spans="1:3" x14ac:dyDescent="0.2">
      <c r="A351" s="1">
        <v>259</v>
      </c>
      <c r="B351" s="7">
        <f>RADIANS(Table1[[#This Row],[x]])</f>
        <v>4.5204027626653138</v>
      </c>
      <c r="C351" s="7">
        <f t="shared" si="8"/>
        <v>-0.98162718344766398</v>
      </c>
    </row>
    <row r="352" spans="1:3" x14ac:dyDescent="0.2">
      <c r="A352" s="1">
        <v>260</v>
      </c>
      <c r="B352" s="7">
        <f>RADIANS(Table1[[#This Row],[x]])</f>
        <v>4.5378560551852569</v>
      </c>
      <c r="C352" s="7">
        <f t="shared" si="8"/>
        <v>-0.98480775301220802</v>
      </c>
    </row>
    <row r="353" spans="1:3" x14ac:dyDescent="0.2">
      <c r="A353" s="1">
        <v>261</v>
      </c>
      <c r="B353" s="7">
        <f>RADIANS(Table1[[#This Row],[x]])</f>
        <v>4.5553093477052</v>
      </c>
      <c r="C353" s="7">
        <f t="shared" si="8"/>
        <v>-0.98768834059513766</v>
      </c>
    </row>
    <row r="354" spans="1:3" x14ac:dyDescent="0.2">
      <c r="A354" s="1">
        <v>262</v>
      </c>
      <c r="B354" s="7">
        <f>RADIANS(Table1[[#This Row],[x]])</f>
        <v>4.5727626402251431</v>
      </c>
      <c r="C354" s="7">
        <f t="shared" si="8"/>
        <v>-0.99026806874157025</v>
      </c>
    </row>
    <row r="355" spans="1:3" x14ac:dyDescent="0.2">
      <c r="A355" s="1">
        <v>263</v>
      </c>
      <c r="B355" s="7">
        <f>RADIANS(Table1[[#This Row],[x]])</f>
        <v>4.5902159327450871</v>
      </c>
      <c r="C355" s="7">
        <f t="shared" ref="C355:C360" si="9">SIN(B355)</f>
        <v>-0.99254615164132209</v>
      </c>
    </row>
    <row r="356" spans="1:3" x14ac:dyDescent="0.2">
      <c r="A356" s="1">
        <v>264</v>
      </c>
      <c r="B356" s="7">
        <f>RADIANS(Table1[[#This Row],[x]])</f>
        <v>4.6076692252650302</v>
      </c>
      <c r="C356" s="7">
        <f t="shared" si="9"/>
        <v>-0.9945218953682734</v>
      </c>
    </row>
    <row r="357" spans="1:3" x14ac:dyDescent="0.2">
      <c r="A357" s="1">
        <v>265</v>
      </c>
      <c r="B357" s="7">
        <f>RADIANS(Table1[[#This Row],[x]])</f>
        <v>4.6251225177849733</v>
      </c>
      <c r="C357" s="7">
        <f t="shared" si="9"/>
        <v>-0.99619469809174555</v>
      </c>
    </row>
    <row r="358" spans="1:3" x14ac:dyDescent="0.2">
      <c r="A358" s="1">
        <v>266</v>
      </c>
      <c r="B358" s="7">
        <f>RADIANS(Table1[[#This Row],[x]])</f>
        <v>4.6425758103049164</v>
      </c>
      <c r="C358" s="7">
        <f t="shared" si="9"/>
        <v>-0.9975640502598242</v>
      </c>
    </row>
    <row r="359" spans="1:3" x14ac:dyDescent="0.2">
      <c r="A359" s="1">
        <v>267</v>
      </c>
      <c r="B359" s="7">
        <f>RADIANS(Table1[[#This Row],[x]])</f>
        <v>4.6600291028248595</v>
      </c>
      <c r="C359" s="7">
        <f t="shared" si="9"/>
        <v>-0.99862953475457383</v>
      </c>
    </row>
    <row r="360" spans="1:3" x14ac:dyDescent="0.2">
      <c r="A360" s="1">
        <v>268</v>
      </c>
      <c r="B360" s="7">
        <f>RADIANS(Table1[[#This Row],[x]])</f>
        <v>4.6774823953448035</v>
      </c>
      <c r="C360" s="7">
        <f t="shared" si="9"/>
        <v>-0.99939082701909576</v>
      </c>
    </row>
    <row r="361" spans="1:3" x14ac:dyDescent="0.2">
      <c r="A361" s="1">
        <v>269</v>
      </c>
      <c r="B361" s="7">
        <f>RADIANS(Table1[[#This Row],[x]])</f>
        <v>4.6949356878647466</v>
      </c>
      <c r="C361" s="7">
        <f t="shared" ref="C361:C387" si="10">SIN(B361)</f>
        <v>-0.99984769515639127</v>
      </c>
    </row>
    <row r="362" spans="1:3" x14ac:dyDescent="0.2">
      <c r="A362" s="1">
        <v>270</v>
      </c>
      <c r="B362" s="7">
        <f>RADIANS(Table1[[#This Row],[x]])</f>
        <v>4.7123889803846897</v>
      </c>
      <c r="C362" s="7">
        <f t="shared" si="10"/>
        <v>-1</v>
      </c>
    </row>
    <row r="363" spans="1:3" x14ac:dyDescent="0.2">
      <c r="A363" s="1">
        <v>271</v>
      </c>
      <c r="B363" s="7">
        <f>RADIANS(Table1[[#This Row],[x]])</f>
        <v>4.7298422729046328</v>
      </c>
      <c r="C363" s="7">
        <f t="shared" si="10"/>
        <v>-0.99984769515639127</v>
      </c>
    </row>
    <row r="364" spans="1:3" x14ac:dyDescent="0.2">
      <c r="A364" s="1">
        <v>272</v>
      </c>
      <c r="B364" s="7">
        <f>RADIANS(Table1[[#This Row],[x]])</f>
        <v>4.7472955654245768</v>
      </c>
      <c r="C364" s="7">
        <f t="shared" si="10"/>
        <v>-0.99939082701909576</v>
      </c>
    </row>
    <row r="365" spans="1:3" x14ac:dyDescent="0.2">
      <c r="A365" s="1">
        <v>273</v>
      </c>
      <c r="B365" s="7">
        <f>RADIANS(Table1[[#This Row],[x]])</f>
        <v>4.7647488579445199</v>
      </c>
      <c r="C365" s="7">
        <f t="shared" si="10"/>
        <v>-0.99862953475457383</v>
      </c>
    </row>
    <row r="366" spans="1:3" x14ac:dyDescent="0.2">
      <c r="A366" s="1">
        <v>274</v>
      </c>
      <c r="B366" s="7">
        <f>RADIANS(Table1[[#This Row],[x]])</f>
        <v>4.782202150464463</v>
      </c>
      <c r="C366" s="7">
        <f t="shared" si="10"/>
        <v>-0.99756405025982431</v>
      </c>
    </row>
    <row r="367" spans="1:3" x14ac:dyDescent="0.2">
      <c r="A367" s="1">
        <v>275</v>
      </c>
      <c r="B367" s="7">
        <f>RADIANS(Table1[[#This Row],[x]])</f>
        <v>4.7996554429844061</v>
      </c>
      <c r="C367" s="7">
        <f t="shared" si="10"/>
        <v>-0.99619469809174555</v>
      </c>
    </row>
    <row r="368" spans="1:3" x14ac:dyDescent="0.2">
      <c r="A368" s="1">
        <v>276</v>
      </c>
      <c r="B368" s="7">
        <f>RADIANS(Table1[[#This Row],[x]])</f>
        <v>4.8171087355043491</v>
      </c>
      <c r="C368" s="7">
        <f t="shared" si="10"/>
        <v>-0.9945218953682734</v>
      </c>
    </row>
    <row r="369" spans="1:3" x14ac:dyDescent="0.2">
      <c r="A369" s="1">
        <v>277</v>
      </c>
      <c r="B369" s="7">
        <f>RADIANS(Table1[[#This Row],[x]])</f>
        <v>4.8345620280242931</v>
      </c>
      <c r="C369" s="7">
        <f t="shared" si="10"/>
        <v>-0.99254615164132198</v>
      </c>
    </row>
    <row r="370" spans="1:3" x14ac:dyDescent="0.2">
      <c r="A370" s="1">
        <v>278</v>
      </c>
      <c r="B370" s="7">
        <f>RADIANS(Table1[[#This Row],[x]])</f>
        <v>4.8520153205442362</v>
      </c>
      <c r="C370" s="7">
        <f t="shared" si="10"/>
        <v>-0.99026806874157036</v>
      </c>
    </row>
    <row r="371" spans="1:3" x14ac:dyDescent="0.2">
      <c r="A371" s="1">
        <v>279</v>
      </c>
      <c r="B371" s="7">
        <f>RADIANS(Table1[[#This Row],[x]])</f>
        <v>4.8694686130641793</v>
      </c>
      <c r="C371" s="7">
        <f t="shared" si="10"/>
        <v>-0.98768834059513777</v>
      </c>
    </row>
    <row r="372" spans="1:3" x14ac:dyDescent="0.2">
      <c r="A372" s="1">
        <v>280</v>
      </c>
      <c r="B372" s="7">
        <f>RADIANS(Table1[[#This Row],[x]])</f>
        <v>4.8869219055841224</v>
      </c>
      <c r="C372" s="7">
        <f t="shared" si="10"/>
        <v>-0.98480775301220813</v>
      </c>
    </row>
    <row r="373" spans="1:3" x14ac:dyDescent="0.2">
      <c r="A373" s="1">
        <v>281</v>
      </c>
      <c r="B373" s="7">
        <f>RADIANS(Table1[[#This Row],[x]])</f>
        <v>4.9043751981040664</v>
      </c>
      <c r="C373" s="7">
        <f t="shared" si="10"/>
        <v>-0.98162718344766386</v>
      </c>
    </row>
    <row r="374" spans="1:3" x14ac:dyDescent="0.2">
      <c r="A374" s="1">
        <v>282</v>
      </c>
      <c r="B374" s="7">
        <f>RADIANS(Table1[[#This Row],[x]])</f>
        <v>4.9218284906240095</v>
      </c>
      <c r="C374" s="7">
        <f t="shared" si="10"/>
        <v>-0.97814760073380558</v>
      </c>
    </row>
    <row r="375" spans="1:3" x14ac:dyDescent="0.2">
      <c r="A375" s="1">
        <v>283</v>
      </c>
      <c r="B375" s="7">
        <f>RADIANS(Table1[[#This Row],[x]])</f>
        <v>4.9392817831439526</v>
      </c>
      <c r="C375" s="7">
        <f t="shared" si="10"/>
        <v>-0.97437006478523525</v>
      </c>
    </row>
    <row r="376" spans="1:3" x14ac:dyDescent="0.2">
      <c r="A376" s="1">
        <v>284</v>
      </c>
      <c r="B376" s="7">
        <f>RADIANS(Table1[[#This Row],[x]])</f>
        <v>4.9567350756638957</v>
      </c>
      <c r="C376" s="7">
        <f t="shared" si="10"/>
        <v>-0.97029572627599658</v>
      </c>
    </row>
    <row r="377" spans="1:3" x14ac:dyDescent="0.2">
      <c r="A377" s="1">
        <v>285</v>
      </c>
      <c r="B377" s="7">
        <f>RADIANS(Table1[[#This Row],[x]])</f>
        <v>4.9741883681838388</v>
      </c>
      <c r="C377" s="7">
        <f t="shared" si="10"/>
        <v>-0.96592582628906842</v>
      </c>
    </row>
    <row r="378" spans="1:3" x14ac:dyDescent="0.2">
      <c r="A378" s="1">
        <v>286</v>
      </c>
      <c r="B378" s="7">
        <f>RADIANS(Table1[[#This Row],[x]])</f>
        <v>4.9916416607037828</v>
      </c>
      <c r="C378" s="7">
        <f t="shared" si="10"/>
        <v>-0.96126169593831878</v>
      </c>
    </row>
    <row r="379" spans="1:3" x14ac:dyDescent="0.2">
      <c r="A379" s="1">
        <v>287</v>
      </c>
      <c r="B379" s="7">
        <f>RADIANS(Table1[[#This Row],[x]])</f>
        <v>5.0090949532237259</v>
      </c>
      <c r="C379" s="7">
        <f t="shared" si="10"/>
        <v>-0.95630475596303544</v>
      </c>
    </row>
    <row r="380" spans="1:3" x14ac:dyDescent="0.2">
      <c r="A380" s="1">
        <v>288</v>
      </c>
      <c r="B380" s="7">
        <f>RADIANS(Table1[[#This Row],[x]])</f>
        <v>5.026548245743669</v>
      </c>
      <c r="C380" s="7">
        <f t="shared" si="10"/>
        <v>-0.95105651629515364</v>
      </c>
    </row>
    <row r="381" spans="1:3" x14ac:dyDescent="0.2">
      <c r="A381" s="1">
        <v>289</v>
      </c>
      <c r="B381" s="7">
        <f>RADIANS(Table1[[#This Row],[x]])</f>
        <v>5.0440015382636121</v>
      </c>
      <c r="C381" s="7">
        <f t="shared" si="10"/>
        <v>-0.94551857559931696</v>
      </c>
    </row>
    <row r="382" spans="1:3" x14ac:dyDescent="0.2">
      <c r="A382" s="1">
        <v>290</v>
      </c>
      <c r="B382" s="7">
        <f>RADIANS(Table1[[#This Row],[x]])</f>
        <v>5.0614548307835561</v>
      </c>
      <c r="C382" s="7">
        <f t="shared" si="10"/>
        <v>-0.93969262078590832</v>
      </c>
    </row>
    <row r="383" spans="1:3" x14ac:dyDescent="0.2">
      <c r="A383" s="1">
        <v>291</v>
      </c>
      <c r="B383" s="7">
        <f>RADIANS(Table1[[#This Row],[x]])</f>
        <v>5.0789081233034992</v>
      </c>
      <c r="C383" s="7">
        <f t="shared" si="10"/>
        <v>-0.93358042649720174</v>
      </c>
    </row>
    <row r="384" spans="1:3" x14ac:dyDescent="0.2">
      <c r="A384" s="1">
        <v>292</v>
      </c>
      <c r="B384" s="7">
        <f>RADIANS(Table1[[#This Row],[x]])</f>
        <v>5.0963614158234423</v>
      </c>
      <c r="C384" s="7">
        <f t="shared" si="10"/>
        <v>-0.92718385456678742</v>
      </c>
    </row>
    <row r="385" spans="1:3" x14ac:dyDescent="0.2">
      <c r="A385" s="1">
        <v>293</v>
      </c>
      <c r="B385" s="7">
        <f>RADIANS(Table1[[#This Row],[x]])</f>
        <v>5.1138147083433854</v>
      </c>
      <c r="C385" s="7">
        <f t="shared" si="10"/>
        <v>-0.92050485345244049</v>
      </c>
    </row>
    <row r="386" spans="1:3" x14ac:dyDescent="0.2">
      <c r="A386" s="1">
        <v>294</v>
      </c>
      <c r="B386" s="7">
        <f>RADIANS(Table1[[#This Row],[x]])</f>
        <v>5.1312680008633285</v>
      </c>
      <c r="C386" s="7">
        <f t="shared" si="10"/>
        <v>-0.91354545764260109</v>
      </c>
    </row>
    <row r="387" spans="1:3" x14ac:dyDescent="0.2">
      <c r="A387" s="1">
        <v>295</v>
      </c>
      <c r="B387" s="7">
        <f>RADIANS(Table1[[#This Row],[x]])</f>
        <v>5.1487212933832724</v>
      </c>
      <c r="C387" s="7">
        <f t="shared" si="10"/>
        <v>-0.90630778703664994</v>
      </c>
    </row>
    <row r="388" spans="1:3" x14ac:dyDescent="0.2">
      <c r="A388" s="1">
        <v>296</v>
      </c>
      <c r="B388" s="7">
        <f>RADIANS(Table1[[#This Row],[x]])</f>
        <v>5.1661745859032155</v>
      </c>
      <c r="C388" s="7">
        <f t="shared" ref="C388:C421" si="11">SIN(B388)</f>
        <v>-0.89879404629916704</v>
      </c>
    </row>
    <row r="389" spans="1:3" x14ac:dyDescent="0.2">
      <c r="A389" s="1">
        <v>297</v>
      </c>
      <c r="B389" s="7">
        <f>RADIANS(Table1[[#This Row],[x]])</f>
        <v>5.1836278784231586</v>
      </c>
      <c r="C389" s="7">
        <f t="shared" si="11"/>
        <v>-0.8910065241883679</v>
      </c>
    </row>
    <row r="390" spans="1:3" x14ac:dyDescent="0.2">
      <c r="A390" s="1">
        <v>298</v>
      </c>
      <c r="B390" s="7">
        <f>RADIANS(Table1[[#This Row],[x]])</f>
        <v>5.2010811709431017</v>
      </c>
      <c r="C390" s="7">
        <f t="shared" si="11"/>
        <v>-0.8829475928589271</v>
      </c>
    </row>
    <row r="391" spans="1:3" x14ac:dyDescent="0.2">
      <c r="A391" s="1">
        <v>299</v>
      </c>
      <c r="B391" s="7">
        <f>RADIANS(Table1[[#This Row],[x]])</f>
        <v>5.2185344634630457</v>
      </c>
      <c r="C391" s="7">
        <f t="shared" si="11"/>
        <v>-0.87461970713939563</v>
      </c>
    </row>
    <row r="392" spans="1:3" x14ac:dyDescent="0.2">
      <c r="A392" s="1">
        <v>300</v>
      </c>
      <c r="B392" s="7">
        <f>RADIANS(Table1[[#This Row],[x]])</f>
        <v>5.2359877559829888</v>
      </c>
      <c r="C392" s="7">
        <f t="shared" si="11"/>
        <v>-0.8660254037844386</v>
      </c>
    </row>
    <row r="393" spans="1:3" x14ac:dyDescent="0.2">
      <c r="A393" s="1">
        <v>301</v>
      </c>
      <c r="B393" s="7">
        <f>RADIANS(Table1[[#This Row],[x]])</f>
        <v>5.2534410485029319</v>
      </c>
      <c r="C393" s="7">
        <f t="shared" si="11"/>
        <v>-0.85716730070211233</v>
      </c>
    </row>
    <row r="394" spans="1:3" x14ac:dyDescent="0.2">
      <c r="A394" s="1">
        <v>302</v>
      </c>
      <c r="B394" s="7">
        <f>RADIANS(Table1[[#This Row],[x]])</f>
        <v>5.270894341022875</v>
      </c>
      <c r="C394" s="7">
        <f t="shared" si="11"/>
        <v>-0.84804809615642618</v>
      </c>
    </row>
    <row r="395" spans="1:3" x14ac:dyDescent="0.2">
      <c r="A395" s="1">
        <v>303</v>
      </c>
      <c r="B395" s="7">
        <f>RADIANS(Table1[[#This Row],[x]])</f>
        <v>5.2883476335428181</v>
      </c>
      <c r="C395" s="7">
        <f t="shared" si="11"/>
        <v>-0.83867056794542427</v>
      </c>
    </row>
    <row r="396" spans="1:3" x14ac:dyDescent="0.2">
      <c r="A396" s="1">
        <v>304</v>
      </c>
      <c r="B396" s="7">
        <f>RADIANS(Table1[[#This Row],[x]])</f>
        <v>5.3058009260627621</v>
      </c>
      <c r="C396" s="7">
        <f t="shared" si="11"/>
        <v>-0.82903757255504162</v>
      </c>
    </row>
    <row r="397" spans="1:3" x14ac:dyDescent="0.2">
      <c r="A397" s="1">
        <v>305</v>
      </c>
      <c r="B397" s="7">
        <f>RADIANS(Table1[[#This Row],[x]])</f>
        <v>5.3232542185827052</v>
      </c>
      <c r="C397" s="7">
        <f t="shared" si="11"/>
        <v>-0.8191520442889918</v>
      </c>
    </row>
    <row r="398" spans="1:3" x14ac:dyDescent="0.2">
      <c r="A398" s="1">
        <v>306</v>
      </c>
      <c r="B398" s="7">
        <f>RADIANS(Table1[[#This Row],[x]])</f>
        <v>5.3407075111026483</v>
      </c>
      <c r="C398" s="7">
        <f t="shared" si="11"/>
        <v>-0.80901699437494756</v>
      </c>
    </row>
    <row r="399" spans="1:3" x14ac:dyDescent="0.2">
      <c r="A399" s="1">
        <v>307</v>
      </c>
      <c r="B399" s="7">
        <f>RADIANS(Table1[[#This Row],[x]])</f>
        <v>5.3581608036225914</v>
      </c>
      <c r="C399" s="7">
        <f t="shared" si="11"/>
        <v>-0.79863551004729305</v>
      </c>
    </row>
    <row r="400" spans="1:3" x14ac:dyDescent="0.2">
      <c r="A400" s="1">
        <v>308</v>
      </c>
      <c r="B400" s="7">
        <f>RADIANS(Table1[[#This Row],[x]])</f>
        <v>5.3756140961425354</v>
      </c>
      <c r="C400" s="7">
        <f t="shared" si="11"/>
        <v>-0.78801075360672179</v>
      </c>
    </row>
    <row r="401" spans="1:3" x14ac:dyDescent="0.2">
      <c r="A401" s="1">
        <v>309</v>
      </c>
      <c r="B401" s="7">
        <f>RADIANS(Table1[[#This Row],[x]])</f>
        <v>5.3930673886624785</v>
      </c>
      <c r="C401" s="7">
        <f t="shared" si="11"/>
        <v>-0.77714596145697079</v>
      </c>
    </row>
    <row r="402" spans="1:3" x14ac:dyDescent="0.2">
      <c r="A402" s="1">
        <v>310</v>
      </c>
      <c r="B402" s="7">
        <f>RADIANS(Table1[[#This Row],[x]])</f>
        <v>5.4105206811824216</v>
      </c>
      <c r="C402" s="7">
        <f t="shared" si="11"/>
        <v>-0.76604444311897812</v>
      </c>
    </row>
    <row r="403" spans="1:3" x14ac:dyDescent="0.2">
      <c r="A403" s="1">
        <v>311</v>
      </c>
      <c r="B403" s="7">
        <f>RADIANS(Table1[[#This Row],[x]])</f>
        <v>5.4279739737023647</v>
      </c>
      <c r="C403" s="7">
        <f t="shared" si="11"/>
        <v>-0.75470958022277224</v>
      </c>
    </row>
    <row r="404" spans="1:3" x14ac:dyDescent="0.2">
      <c r="A404" s="1">
        <v>312</v>
      </c>
      <c r="B404" s="7">
        <f>RADIANS(Table1[[#This Row],[x]])</f>
        <v>5.4454272662223078</v>
      </c>
      <c r="C404" s="7">
        <f t="shared" si="11"/>
        <v>-0.74314482547739458</v>
      </c>
    </row>
    <row r="405" spans="1:3" x14ac:dyDescent="0.2">
      <c r="A405" s="1">
        <v>313</v>
      </c>
      <c r="B405" s="7">
        <f>RADIANS(Table1[[#This Row],[x]])</f>
        <v>5.4628805587422518</v>
      </c>
      <c r="C405" s="7">
        <f t="shared" si="11"/>
        <v>-0.73135370161917035</v>
      </c>
    </row>
    <row r="406" spans="1:3" x14ac:dyDescent="0.2">
      <c r="A406" s="1">
        <v>314</v>
      </c>
      <c r="B406" s="7">
        <f>RADIANS(Table1[[#This Row],[x]])</f>
        <v>5.4803338512621949</v>
      </c>
      <c r="C406" s="7">
        <f t="shared" si="11"/>
        <v>-0.71933980033865119</v>
      </c>
    </row>
    <row r="407" spans="1:3" x14ac:dyDescent="0.2">
      <c r="A407" s="1">
        <v>315</v>
      </c>
      <c r="B407" s="7">
        <f>RADIANS(Table1[[#This Row],[x]])</f>
        <v>5.497787143782138</v>
      </c>
      <c r="C407" s="7">
        <f t="shared" si="11"/>
        <v>-0.70710678118654768</v>
      </c>
    </row>
    <row r="408" spans="1:3" x14ac:dyDescent="0.2">
      <c r="A408" s="1">
        <v>316</v>
      </c>
      <c r="B408" s="7">
        <f>RADIANS(Table1[[#This Row],[x]])</f>
        <v>5.5152404363020811</v>
      </c>
      <c r="C408" s="7">
        <f t="shared" si="11"/>
        <v>-0.69465837045899759</v>
      </c>
    </row>
    <row r="409" spans="1:3" x14ac:dyDescent="0.2">
      <c r="A409" s="1">
        <v>317</v>
      </c>
      <c r="B409" s="7">
        <f>RADIANS(Table1[[#This Row],[x]])</f>
        <v>5.532693728822025</v>
      </c>
      <c r="C409" s="7">
        <f t="shared" si="11"/>
        <v>-0.68199836006249825</v>
      </c>
    </row>
    <row r="410" spans="1:3" x14ac:dyDescent="0.2">
      <c r="A410" s="1">
        <v>318</v>
      </c>
      <c r="B410" s="7">
        <f>RADIANS(Table1[[#This Row],[x]])</f>
        <v>5.5501470213419681</v>
      </c>
      <c r="C410" s="7">
        <f t="shared" si="11"/>
        <v>-0.66913060635885813</v>
      </c>
    </row>
    <row r="411" spans="1:3" x14ac:dyDescent="0.2">
      <c r="A411" s="1">
        <v>319</v>
      </c>
      <c r="B411" s="7">
        <f>RADIANS(Table1[[#This Row],[x]])</f>
        <v>5.5676003138619112</v>
      </c>
      <c r="C411" s="7">
        <f t="shared" si="11"/>
        <v>-0.65605902899050739</v>
      </c>
    </row>
    <row r="412" spans="1:3" x14ac:dyDescent="0.2">
      <c r="A412" s="1">
        <v>320</v>
      </c>
      <c r="B412" s="7">
        <f>RADIANS(Table1[[#This Row],[x]])</f>
        <v>5.5850536063818543</v>
      </c>
      <c r="C412" s="7">
        <f t="shared" si="11"/>
        <v>-0.64278760968653958</v>
      </c>
    </row>
    <row r="413" spans="1:3" x14ac:dyDescent="0.2">
      <c r="A413" s="1">
        <v>321</v>
      </c>
      <c r="B413" s="7">
        <f>RADIANS(Table1[[#This Row],[x]])</f>
        <v>5.6025068989017974</v>
      </c>
      <c r="C413" s="7">
        <f t="shared" si="11"/>
        <v>-0.62932039104983784</v>
      </c>
    </row>
    <row r="414" spans="1:3" x14ac:dyDescent="0.2">
      <c r="A414" s="1">
        <v>322</v>
      </c>
      <c r="B414" s="7">
        <f>RADIANS(Table1[[#This Row],[x]])</f>
        <v>5.6199601914217414</v>
      </c>
      <c r="C414" s="7">
        <f t="shared" si="11"/>
        <v>-0.61566147532565818</v>
      </c>
    </row>
    <row r="415" spans="1:3" x14ac:dyDescent="0.2">
      <c r="A415" s="1">
        <v>323</v>
      </c>
      <c r="B415" s="7">
        <f>RADIANS(Table1[[#This Row],[x]])</f>
        <v>5.6374134839416845</v>
      </c>
      <c r="C415" s="7">
        <f t="shared" si="11"/>
        <v>-0.60181502315204827</v>
      </c>
    </row>
    <row r="416" spans="1:3" x14ac:dyDescent="0.2">
      <c r="A416" s="1">
        <v>324</v>
      </c>
      <c r="B416" s="7">
        <f>RADIANS(Table1[[#This Row],[x]])</f>
        <v>5.6548667764616276</v>
      </c>
      <c r="C416" s="7">
        <f t="shared" si="11"/>
        <v>-0.58778525229247336</v>
      </c>
    </row>
    <row r="417" spans="1:3" x14ac:dyDescent="0.2">
      <c r="A417" s="1">
        <v>325</v>
      </c>
      <c r="B417" s="7">
        <f>RADIANS(Table1[[#This Row],[x]])</f>
        <v>5.6723200689815707</v>
      </c>
      <c r="C417" s="7">
        <f t="shared" si="11"/>
        <v>-0.57357643635104649</v>
      </c>
    </row>
    <row r="418" spans="1:3" x14ac:dyDescent="0.2">
      <c r="A418" s="1">
        <v>326</v>
      </c>
      <c r="B418" s="7">
        <f>RADIANS(Table1[[#This Row],[x]])</f>
        <v>5.6897733615015147</v>
      </c>
      <c r="C418" s="7">
        <f t="shared" si="11"/>
        <v>-0.55919290347074657</v>
      </c>
    </row>
    <row r="419" spans="1:3" x14ac:dyDescent="0.2">
      <c r="A419" s="1">
        <v>327</v>
      </c>
      <c r="B419" s="7">
        <f>RADIANS(Table1[[#This Row],[x]])</f>
        <v>5.7072266540214578</v>
      </c>
      <c r="C419" s="7">
        <f t="shared" si="11"/>
        <v>-0.54463903501502697</v>
      </c>
    </row>
    <row r="420" spans="1:3" x14ac:dyDescent="0.2">
      <c r="A420" s="1">
        <v>328</v>
      </c>
      <c r="B420" s="7">
        <f>RADIANS(Table1[[#This Row],[x]])</f>
        <v>5.7246799465414009</v>
      </c>
      <c r="C420" s="7">
        <f t="shared" si="11"/>
        <v>-0.52991926423320501</v>
      </c>
    </row>
    <row r="421" spans="1:3" x14ac:dyDescent="0.2">
      <c r="A421" s="1">
        <v>329</v>
      </c>
      <c r="B421" s="7">
        <f>RADIANS(Table1[[#This Row],[x]])</f>
        <v>5.742133239061344</v>
      </c>
      <c r="C421" s="7">
        <f t="shared" si="11"/>
        <v>-0.51503807491005449</v>
      </c>
    </row>
    <row r="422" spans="1:3" x14ac:dyDescent="0.2">
      <c r="A422" s="1">
        <v>330</v>
      </c>
      <c r="B422" s="7">
        <f>RADIANS(Table1[[#This Row],[x]])</f>
        <v>5.7595865315812871</v>
      </c>
      <c r="C422" s="7">
        <f t="shared" ref="C422:C440" si="12">SIN(B422)</f>
        <v>-0.50000000000000044</v>
      </c>
    </row>
    <row r="423" spans="1:3" x14ac:dyDescent="0.2">
      <c r="A423" s="1">
        <v>331</v>
      </c>
      <c r="B423" s="7">
        <f>RADIANS(Table1[[#This Row],[x]])</f>
        <v>5.7770398241012311</v>
      </c>
      <c r="C423" s="7">
        <f t="shared" si="12"/>
        <v>-0.48480962024633689</v>
      </c>
    </row>
    <row r="424" spans="1:3" x14ac:dyDescent="0.2">
      <c r="A424" s="1">
        <v>332</v>
      </c>
      <c r="B424" s="7">
        <f>RADIANS(Table1[[#This Row],[x]])</f>
        <v>5.7944931166211742</v>
      </c>
      <c r="C424" s="7">
        <f t="shared" si="12"/>
        <v>-0.46947156278589081</v>
      </c>
    </row>
    <row r="425" spans="1:3" x14ac:dyDescent="0.2">
      <c r="A425" s="1">
        <v>333</v>
      </c>
      <c r="B425" s="7">
        <f>RADIANS(Table1[[#This Row],[x]])</f>
        <v>5.8119464091411173</v>
      </c>
      <c r="C425" s="7">
        <f t="shared" si="12"/>
        <v>-0.45399049973954697</v>
      </c>
    </row>
    <row r="426" spans="1:3" x14ac:dyDescent="0.2">
      <c r="A426" s="1">
        <v>334</v>
      </c>
      <c r="B426" s="7">
        <f>RADIANS(Table1[[#This Row],[x]])</f>
        <v>5.8293997016610604</v>
      </c>
      <c r="C426" s="7">
        <f t="shared" si="12"/>
        <v>-0.43837114678907779</v>
      </c>
    </row>
    <row r="427" spans="1:3" x14ac:dyDescent="0.2">
      <c r="A427" s="1">
        <v>335</v>
      </c>
      <c r="B427" s="7">
        <f>RADIANS(Table1[[#This Row],[x]])</f>
        <v>5.8468529941810043</v>
      </c>
      <c r="C427" s="7">
        <f t="shared" si="12"/>
        <v>-0.42261826174069922</v>
      </c>
    </row>
    <row r="428" spans="1:3" x14ac:dyDescent="0.2">
      <c r="A428" s="1">
        <v>336</v>
      </c>
      <c r="B428" s="7">
        <f>RADIANS(Table1[[#This Row],[x]])</f>
        <v>5.8643062867009474</v>
      </c>
      <c r="C428" s="7">
        <f t="shared" si="12"/>
        <v>-0.40673664307580015</v>
      </c>
    </row>
    <row r="429" spans="1:3" x14ac:dyDescent="0.2">
      <c r="A429" s="1">
        <v>337</v>
      </c>
      <c r="B429" s="7">
        <f>RADIANS(Table1[[#This Row],[x]])</f>
        <v>5.8817595792208905</v>
      </c>
      <c r="C429" s="7">
        <f t="shared" si="12"/>
        <v>-0.39073112848927388</v>
      </c>
    </row>
    <row r="430" spans="1:3" x14ac:dyDescent="0.2">
      <c r="A430" s="1">
        <v>338</v>
      </c>
      <c r="B430" s="7">
        <f>RADIANS(Table1[[#This Row],[x]])</f>
        <v>5.8992128717408336</v>
      </c>
      <c r="C430" s="7">
        <f t="shared" si="12"/>
        <v>-0.37460659341591235</v>
      </c>
    </row>
    <row r="431" spans="1:3" x14ac:dyDescent="0.2">
      <c r="A431" s="1">
        <v>339</v>
      </c>
      <c r="B431" s="7">
        <f>RADIANS(Table1[[#This Row],[x]])</f>
        <v>5.9166661642607767</v>
      </c>
      <c r="C431" s="7">
        <f t="shared" si="12"/>
        <v>-0.35836794954530077</v>
      </c>
    </row>
    <row r="432" spans="1:3" x14ac:dyDescent="0.2">
      <c r="A432" s="1">
        <v>340</v>
      </c>
      <c r="B432" s="7">
        <f>RADIANS(Table1[[#This Row],[x]])</f>
        <v>5.9341194567807207</v>
      </c>
      <c r="C432" s="7">
        <f t="shared" si="12"/>
        <v>-0.3420201433256686</v>
      </c>
    </row>
    <row r="433" spans="1:3" x14ac:dyDescent="0.2">
      <c r="A433" s="1">
        <v>341</v>
      </c>
      <c r="B433" s="7">
        <f>RADIANS(Table1[[#This Row],[x]])</f>
        <v>5.9515727493006638</v>
      </c>
      <c r="C433" s="7">
        <f t="shared" si="12"/>
        <v>-0.3255681544571567</v>
      </c>
    </row>
    <row r="434" spans="1:3" x14ac:dyDescent="0.2">
      <c r="A434" s="1">
        <v>342</v>
      </c>
      <c r="B434" s="7">
        <f>RADIANS(Table1[[#This Row],[x]])</f>
        <v>5.9690260418206069</v>
      </c>
      <c r="C434" s="7">
        <f t="shared" si="12"/>
        <v>-0.30901699437494762</v>
      </c>
    </row>
    <row r="435" spans="1:3" x14ac:dyDescent="0.2">
      <c r="A435" s="1">
        <v>343</v>
      </c>
      <c r="B435" s="7">
        <f>RADIANS(Table1[[#This Row],[x]])</f>
        <v>5.98647933434055</v>
      </c>
      <c r="C435" s="7">
        <f t="shared" si="12"/>
        <v>-0.29237170472273716</v>
      </c>
    </row>
    <row r="436" spans="1:3" x14ac:dyDescent="0.2">
      <c r="A436" s="1">
        <v>344</v>
      </c>
      <c r="B436" s="7">
        <f>RADIANS(Table1[[#This Row],[x]])</f>
        <v>6.003932626860494</v>
      </c>
      <c r="C436" s="7">
        <f t="shared" si="12"/>
        <v>-0.27563735581699894</v>
      </c>
    </row>
    <row r="437" spans="1:3" x14ac:dyDescent="0.2">
      <c r="A437" s="1">
        <v>345</v>
      </c>
      <c r="B437" s="7">
        <f>RADIANS(Table1[[#This Row],[x]])</f>
        <v>6.0213859193804371</v>
      </c>
      <c r="C437" s="7">
        <f t="shared" si="12"/>
        <v>-0.25881904510252068</v>
      </c>
    </row>
    <row r="438" spans="1:3" x14ac:dyDescent="0.2">
      <c r="A438" s="1">
        <v>346</v>
      </c>
      <c r="B438" s="7">
        <f>RADIANS(Table1[[#This Row],[x]])</f>
        <v>6.0388392119003802</v>
      </c>
      <c r="C438" s="7">
        <f t="shared" si="12"/>
        <v>-0.24192189559966787</v>
      </c>
    </row>
    <row r="439" spans="1:3" x14ac:dyDescent="0.2">
      <c r="A439" s="1">
        <v>347</v>
      </c>
      <c r="B439" s="7">
        <f>RADIANS(Table1[[#This Row],[x]])</f>
        <v>6.0562925044203233</v>
      </c>
      <c r="C439" s="7">
        <f t="shared" si="12"/>
        <v>-0.22495105434386534</v>
      </c>
    </row>
    <row r="440" spans="1:3" x14ac:dyDescent="0.2">
      <c r="A440" s="1">
        <v>348</v>
      </c>
      <c r="B440" s="7">
        <f>RADIANS(Table1[[#This Row],[x]])</f>
        <v>6.0737457969402664</v>
      </c>
      <c r="C440" s="7">
        <f t="shared" si="12"/>
        <v>-0.20791169081775987</v>
      </c>
    </row>
    <row r="441" spans="1:3" x14ac:dyDescent="0.2">
      <c r="A441" s="1">
        <v>349</v>
      </c>
      <c r="B441" s="7">
        <f>RADIANS(Table1[[#This Row],[x]])</f>
        <v>6.0911990894602104</v>
      </c>
      <c r="C441" s="7">
        <f t="shared" ref="C441:C451" si="13">SIN(B441)</f>
        <v>-0.19080899537654467</v>
      </c>
    </row>
    <row r="442" spans="1:3" x14ac:dyDescent="0.2">
      <c r="A442" s="1">
        <v>350</v>
      </c>
      <c r="B442" s="7">
        <f>RADIANS(Table1[[#This Row],[x]])</f>
        <v>6.1086523819801535</v>
      </c>
      <c r="C442" s="7">
        <f t="shared" si="13"/>
        <v>-0.17364817766693039</v>
      </c>
    </row>
    <row r="443" spans="1:3" x14ac:dyDescent="0.2">
      <c r="A443" s="1">
        <v>351</v>
      </c>
      <c r="B443" s="7">
        <f>RADIANS(Table1[[#This Row],[x]])</f>
        <v>6.1261056745000966</v>
      </c>
      <c r="C443" s="7">
        <f t="shared" si="13"/>
        <v>-0.15643446504023112</v>
      </c>
    </row>
    <row r="444" spans="1:3" x14ac:dyDescent="0.2">
      <c r="A444" s="1">
        <v>352</v>
      </c>
      <c r="B444" s="7">
        <f>RADIANS(Table1[[#This Row],[x]])</f>
        <v>6.1435589670200397</v>
      </c>
      <c r="C444" s="7">
        <f t="shared" si="13"/>
        <v>-0.13917310096006588</v>
      </c>
    </row>
    <row r="445" spans="1:3" x14ac:dyDescent="0.2">
      <c r="A445" s="1">
        <v>353</v>
      </c>
      <c r="B445" s="7">
        <f>RADIANS(Table1[[#This Row],[x]])</f>
        <v>6.1610122595399837</v>
      </c>
      <c r="C445" s="7">
        <f t="shared" si="13"/>
        <v>-0.12186934340514723</v>
      </c>
    </row>
    <row r="446" spans="1:3" x14ac:dyDescent="0.2">
      <c r="A446" s="1">
        <v>354</v>
      </c>
      <c r="B446" s="7">
        <f>RADIANS(Table1[[#This Row],[x]])</f>
        <v>6.1784655520599268</v>
      </c>
      <c r="C446" s="7">
        <f t="shared" si="13"/>
        <v>-0.10452846326765342</v>
      </c>
    </row>
    <row r="447" spans="1:3" x14ac:dyDescent="0.2">
      <c r="A447" s="1">
        <v>355</v>
      </c>
      <c r="B447" s="7">
        <f>RADIANS(Table1[[#This Row],[x]])</f>
        <v>6.1959188445798699</v>
      </c>
      <c r="C447" s="7">
        <f t="shared" si="13"/>
        <v>-8.7155742747658319E-2</v>
      </c>
    </row>
    <row r="448" spans="1:3" x14ac:dyDescent="0.2">
      <c r="A448" s="1">
        <v>356</v>
      </c>
      <c r="B448" s="7">
        <f>RADIANS(Table1[[#This Row],[x]])</f>
        <v>6.213372137099813</v>
      </c>
      <c r="C448" s="7">
        <f t="shared" si="13"/>
        <v>-6.9756473744125636E-2</v>
      </c>
    </row>
    <row r="449" spans="1:3" x14ac:dyDescent="0.2">
      <c r="A449" s="1">
        <v>357</v>
      </c>
      <c r="B449" s="7">
        <f>RADIANS(Table1[[#This Row],[x]])</f>
        <v>6.2308254296197561</v>
      </c>
      <c r="C449" s="7">
        <f t="shared" si="13"/>
        <v>-5.2335956242944369E-2</v>
      </c>
    </row>
    <row r="450" spans="1:3" x14ac:dyDescent="0.2">
      <c r="A450" s="1">
        <v>358</v>
      </c>
      <c r="B450" s="7">
        <f>RADIANS(Table1[[#This Row],[x]])</f>
        <v>6.2482787221397</v>
      </c>
      <c r="C450" s="7">
        <f t="shared" si="13"/>
        <v>-3.4899496702500823E-2</v>
      </c>
    </row>
    <row r="451" spans="1:3" x14ac:dyDescent="0.2">
      <c r="A451" s="1">
        <v>359</v>
      </c>
      <c r="B451" s="7">
        <f>RADIANS(Table1[[#This Row],[x]])</f>
        <v>6.2657320146596431</v>
      </c>
      <c r="C451" s="7">
        <f t="shared" si="13"/>
        <v>-1.745240643728356E-2</v>
      </c>
    </row>
    <row r="452" spans="1:3" x14ac:dyDescent="0.2">
      <c r="A452" s="1">
        <v>360</v>
      </c>
      <c r="B452" s="7">
        <f>RADIANS(Table1[[#This Row],[x]])</f>
        <v>6.2831853071795862</v>
      </c>
      <c r="C452" s="7">
        <f>SIN(B452)</f>
        <v>-2.45029690981724E-16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Majid Rasouli</dc:creator>
  <dc:description/>
  <cp:lastModifiedBy>Majid Rasouli</cp:lastModifiedBy>
  <cp:revision>11</cp:revision>
  <dcterms:created xsi:type="dcterms:W3CDTF">2018-11-09T04:55:12Z</dcterms:created>
  <dcterms:modified xsi:type="dcterms:W3CDTF">2018-11-16T08:56:26Z</dcterms:modified>
  <dc:language>en-US</dc:language>
</cp:coreProperties>
</file>