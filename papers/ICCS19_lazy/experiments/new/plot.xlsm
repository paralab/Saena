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2.png" ContentType="image/png"/>
  <Override PartName="/xl/media/image1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<sst xmlns="http://schemas.openxmlformats.org/spreadsheetml/2006/main" count="49" uniqueCount="25">
  <si>
    <t xml:space="preserve">Update1_1</t>
  </si>
  <si>
    <t xml:space="preserve">update1_2</t>
  </si>
  <si>
    <t xml:space="preserve">update1_3</t>
  </si>
  <si>
    <t xml:space="preserve">assemble</t>
  </si>
  <si>
    <t xml:space="preserve">setup</t>
  </si>
  <si>
    <t xml:space="preserve">solve</t>
  </si>
  <si>
    <t xml:space="preserve">assem+set</t>
  </si>
  <si>
    <t xml:space="preserve">iter</t>
  </si>
  <si>
    <t xml:space="preserve">&lt;=</t>
  </si>
  <si>
    <t xml:space="preserve">worse case solve time</t>
  </si>
  <si>
    <t xml:space="preserve">assem+set: average of 3 updates for the first step</t>
  </si>
  <si>
    <t xml:space="preserve">solve time:</t>
  </si>
  <si>
    <t xml:space="preserve">same solve time</t>
  </si>
  <si>
    <t xml:space="preserve">setup time: new / orig = </t>
  </si>
  <si>
    <t xml:space="preserve">change:</t>
  </si>
  <si>
    <t xml:space="preserve">skip</t>
  </si>
  <si>
    <t xml:space="preserve">average</t>
  </si>
  <si>
    <t xml:space="preserve">divide</t>
  </si>
  <si>
    <t xml:space="preserve">percentage</t>
  </si>
  <si>
    <t xml:space="preserve">Update2_1</t>
  </si>
  <si>
    <t xml:space="preserve">use the setup time of the previous experiment to be ble to compare the change:</t>
  </si>
  <si>
    <t xml:space="preserve">almost the same</t>
  </si>
  <si>
    <t xml:space="preserve">x</t>
  </si>
  <si>
    <t xml:space="preserve">rad(x)</t>
  </si>
  <si>
    <t xml:space="preserve">sin(rad(x))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</si>
</sst>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80000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color rgb="FF2F2F2F"/>
      <name val="Segoe UI"/>
      <family val="2"/>
      <charset val="1"/>
    </font>
    <font>
      <sz val="10"/>
      <color rgb="FF000000"/>
      <name val="Calibri"/>
      <family val="2"/>
    </font>
    <font>
      <sz val="13"/>
      <color rgb="FF595959"/>
      <name val="Calibri"/>
      <family val="2"/>
    </font>
    <font>
      <sz val="14"/>
      <color rgb="FF595959"/>
      <name val="Calibri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B8B8B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F2F2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4472c4"/>
            </a:solidFill>
            <a:ln w="38160">
              <a:solidFill>
                <a:srgbClr val="4472c4"/>
              </a:solidFill>
              <a:round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Sheet1!$B$48:$B$86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48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48</c:v>
                </c:pt>
                <c:pt idx="12">
                  <c:v>48</c:v>
                </c:pt>
                <c:pt idx="13">
                  <c:v>47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47</c:v>
                </c:pt>
                <c:pt idx="33">
                  <c:v>46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5821153"/>
        <c:axId val="59208485"/>
      </c:lineChart>
      <c:catAx>
        <c:axId val="6582115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9208485"/>
        <c:crosses val="autoZero"/>
        <c:auto val="1"/>
        <c:lblAlgn val="ctr"/>
        <c:lblOffset val="100"/>
      </c:catAx>
      <c:valAx>
        <c:axId val="59208485"/>
        <c:scaling>
          <c:orientation val="minMax"/>
          <c:max val="50"/>
          <c:min val="45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400" spc="-1" strike="noStrike">
                    <a:solidFill>
                      <a:srgbClr val="595959"/>
                    </a:solidFill>
                    <a:uFill>
                      <a:solidFill>
                        <a:srgbClr val="ffffff"/>
                      </a:solidFill>
                    </a:uFill>
                    <a:latin typeface="Calibri"/>
                  </a:defRPr>
                </a:pPr>
                <a:r>
                  <a:rPr b="0" sz="1400" spc="-1" strike="noStrike">
                    <a:solidFill>
                      <a:srgbClr val="595959"/>
                    </a:solidFill>
                    <a:uFill>
                      <a:solidFill>
                        <a:srgbClr val="ffffff"/>
                      </a:solidFill>
                    </a:uFill>
                    <a:latin typeface="Calibri"/>
                  </a:rPr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0.0158439975624619"/>
              <c:y val="0.218310784184947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13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65821153"/>
        <c:crosses val="autoZero"/>
        <c:crossBetween val="midCat"/>
        <c:majorUnit val="1"/>
        <c:minorUnit val="0.2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25069236734242"/>
          <c:y val="0.0379909851899549"/>
          <c:w val="0.847180680181677"/>
          <c:h val="0.936681691350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solidFill>
              <a:srgbClr val="ed7d31"/>
            </a:solidFill>
            <a:ln w="144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Sheet1!$B$93:$B$452</c:f>
              <c:numCache>
                <c:formatCode>General</c:formatCode>
                <c:ptCount val="360"/>
                <c:pt idx="0">
                  <c:v>0.0174532925199433</c:v>
                </c:pt>
                <c:pt idx="1">
                  <c:v>0.0349065850398866</c:v>
                </c:pt>
                <c:pt idx="2">
                  <c:v>0.0523598775598299</c:v>
                </c:pt>
                <c:pt idx="3">
                  <c:v>0.0698131700797732</c:v>
                </c:pt>
                <c:pt idx="4">
                  <c:v>0.0872664625997165</c:v>
                </c:pt>
                <c:pt idx="5">
                  <c:v>0.10471975511966</c:v>
                </c:pt>
                <c:pt idx="6">
                  <c:v>0.122173047639603</c:v>
                </c:pt>
                <c:pt idx="7">
                  <c:v>0.139626340159546</c:v>
                </c:pt>
                <c:pt idx="8">
                  <c:v>0.15707963267949</c:v>
                </c:pt>
                <c:pt idx="9">
                  <c:v>0.174532925199433</c:v>
                </c:pt>
                <c:pt idx="10">
                  <c:v>0.191986217719376</c:v>
                </c:pt>
                <c:pt idx="11">
                  <c:v>0.20943951023932</c:v>
                </c:pt>
                <c:pt idx="12">
                  <c:v>0.226892802759263</c:v>
                </c:pt>
                <c:pt idx="13">
                  <c:v>0.244346095279206</c:v>
                </c:pt>
                <c:pt idx="14">
                  <c:v>0.261799387799149</c:v>
                </c:pt>
                <c:pt idx="15">
                  <c:v>0.279252680319093</c:v>
                </c:pt>
                <c:pt idx="16">
                  <c:v>0.296705972839036</c:v>
                </c:pt>
                <c:pt idx="17">
                  <c:v>0.314159265358979</c:v>
                </c:pt>
                <c:pt idx="18">
                  <c:v>0.331612557878923</c:v>
                </c:pt>
                <c:pt idx="19">
                  <c:v>0.349065850398866</c:v>
                </c:pt>
                <c:pt idx="20">
                  <c:v>0.366519142918809</c:v>
                </c:pt>
                <c:pt idx="21">
                  <c:v>0.383972435438752</c:v>
                </c:pt>
                <c:pt idx="22">
                  <c:v>0.401425727958696</c:v>
                </c:pt>
                <c:pt idx="23">
                  <c:v>0.418879020478639</c:v>
                </c:pt>
                <c:pt idx="24">
                  <c:v>0.436332312998582</c:v>
                </c:pt>
                <c:pt idx="25">
                  <c:v>0.453785605518526</c:v>
                </c:pt>
                <c:pt idx="26">
                  <c:v>0.471238898038469</c:v>
                </c:pt>
                <c:pt idx="27">
                  <c:v>0.488692190558412</c:v>
                </c:pt>
                <c:pt idx="28">
                  <c:v>0.506145483078356</c:v>
                </c:pt>
                <c:pt idx="29">
                  <c:v>0.523598775598299</c:v>
                </c:pt>
                <c:pt idx="30">
                  <c:v>0.541052068118242</c:v>
                </c:pt>
                <c:pt idx="31">
                  <c:v>0.558505360638186</c:v>
                </c:pt>
                <c:pt idx="32">
                  <c:v>0.575958653158129</c:v>
                </c:pt>
                <c:pt idx="33">
                  <c:v>0.593411945678072</c:v>
                </c:pt>
                <c:pt idx="34">
                  <c:v>0.610865238198015</c:v>
                </c:pt>
                <c:pt idx="35">
                  <c:v>0.628318530717959</c:v>
                </c:pt>
                <c:pt idx="36">
                  <c:v>0.645771823237902</c:v>
                </c:pt>
                <c:pt idx="37">
                  <c:v>0.663225115757845</c:v>
                </c:pt>
                <c:pt idx="38">
                  <c:v>0.680678408277789</c:v>
                </c:pt>
                <c:pt idx="39">
                  <c:v>0.698131700797732</c:v>
                </c:pt>
                <c:pt idx="40">
                  <c:v>0.715584993317675</c:v>
                </c:pt>
                <c:pt idx="41">
                  <c:v>0.733038285837618</c:v>
                </c:pt>
                <c:pt idx="42">
                  <c:v>0.750491578357562</c:v>
                </c:pt>
                <c:pt idx="43">
                  <c:v>0.767944870877505</c:v>
                </c:pt>
                <c:pt idx="44">
                  <c:v>0.785398163397448</c:v>
                </c:pt>
                <c:pt idx="45">
                  <c:v>0.802851455917392</c:v>
                </c:pt>
                <c:pt idx="46">
                  <c:v>0.820304748437335</c:v>
                </c:pt>
                <c:pt idx="47">
                  <c:v>0.837758040957278</c:v>
                </c:pt>
                <c:pt idx="48">
                  <c:v>0.855211333477221</c:v>
                </c:pt>
                <c:pt idx="49">
                  <c:v>0.872664625997165</c:v>
                </c:pt>
                <c:pt idx="50">
                  <c:v>0.890117918517108</c:v>
                </c:pt>
                <c:pt idx="51">
                  <c:v>0.907571211037051</c:v>
                </c:pt>
                <c:pt idx="52">
                  <c:v>0.925024503556995</c:v>
                </c:pt>
                <c:pt idx="53">
                  <c:v>0.942477796076938</c:v>
                </c:pt>
                <c:pt idx="54">
                  <c:v>0.959931088596881</c:v>
                </c:pt>
                <c:pt idx="55">
                  <c:v>0.977384381116824</c:v>
                </c:pt>
                <c:pt idx="56">
                  <c:v>0.994837673636768</c:v>
                </c:pt>
                <c:pt idx="57">
                  <c:v>1.01229096615671</c:v>
                </c:pt>
                <c:pt idx="58">
                  <c:v>1.02974425867665</c:v>
                </c:pt>
                <c:pt idx="59">
                  <c:v>1.0471975511966</c:v>
                </c:pt>
                <c:pt idx="60">
                  <c:v>1.06465084371654</c:v>
                </c:pt>
                <c:pt idx="61">
                  <c:v>1.08210413623648</c:v>
                </c:pt>
                <c:pt idx="62">
                  <c:v>1.09955742875643</c:v>
                </c:pt>
                <c:pt idx="63">
                  <c:v>1.11701072127637</c:v>
                </c:pt>
                <c:pt idx="64">
                  <c:v>1.13446401379631</c:v>
                </c:pt>
                <c:pt idx="65">
                  <c:v>1.15191730631626</c:v>
                </c:pt>
                <c:pt idx="66">
                  <c:v>1.1693705988362</c:v>
                </c:pt>
                <c:pt idx="67">
                  <c:v>1.18682389135614</c:v>
                </c:pt>
                <c:pt idx="68">
                  <c:v>1.20427718387609</c:v>
                </c:pt>
                <c:pt idx="69">
                  <c:v>1.22173047639603</c:v>
                </c:pt>
                <c:pt idx="70">
                  <c:v>1.23918376891597</c:v>
                </c:pt>
                <c:pt idx="71">
                  <c:v>1.25663706143592</c:v>
                </c:pt>
                <c:pt idx="72">
                  <c:v>1.27409035395586</c:v>
                </c:pt>
                <c:pt idx="73">
                  <c:v>1.2915436464758</c:v>
                </c:pt>
                <c:pt idx="74">
                  <c:v>1.30899693899575</c:v>
                </c:pt>
                <c:pt idx="75">
                  <c:v>1.32645023151569</c:v>
                </c:pt>
                <c:pt idx="76">
                  <c:v>1.34390352403563</c:v>
                </c:pt>
                <c:pt idx="77">
                  <c:v>1.36135681655558</c:v>
                </c:pt>
                <c:pt idx="78">
                  <c:v>1.37881010907552</c:v>
                </c:pt>
                <c:pt idx="79">
                  <c:v>1.39626340159546</c:v>
                </c:pt>
                <c:pt idx="80">
                  <c:v>1.41371669411541</c:v>
                </c:pt>
                <c:pt idx="81">
                  <c:v>1.43116998663535</c:v>
                </c:pt>
                <c:pt idx="82">
                  <c:v>1.44862327915529</c:v>
                </c:pt>
                <c:pt idx="83">
                  <c:v>1.46607657167524</c:v>
                </c:pt>
                <c:pt idx="84">
                  <c:v>1.48352986419518</c:v>
                </c:pt>
                <c:pt idx="85">
                  <c:v>1.50098315671512</c:v>
                </c:pt>
                <c:pt idx="86">
                  <c:v>1.51843644923507</c:v>
                </c:pt>
                <c:pt idx="87">
                  <c:v>1.53588974175501</c:v>
                </c:pt>
                <c:pt idx="88">
                  <c:v>1.55334303427495</c:v>
                </c:pt>
                <c:pt idx="89">
                  <c:v>1.5707963267949</c:v>
                </c:pt>
                <c:pt idx="90">
                  <c:v>1.58824961931484</c:v>
                </c:pt>
                <c:pt idx="91">
                  <c:v>1.60570291183478</c:v>
                </c:pt>
                <c:pt idx="92">
                  <c:v>1.62315620435473</c:v>
                </c:pt>
                <c:pt idx="93">
                  <c:v>1.64060949687467</c:v>
                </c:pt>
                <c:pt idx="94">
                  <c:v>1.65806278939461</c:v>
                </c:pt>
                <c:pt idx="95">
                  <c:v>1.67551608191456</c:v>
                </c:pt>
                <c:pt idx="96">
                  <c:v>1.6929693744345</c:v>
                </c:pt>
                <c:pt idx="97">
                  <c:v>1.71042266695444</c:v>
                </c:pt>
                <c:pt idx="98">
                  <c:v>1.72787595947439</c:v>
                </c:pt>
                <c:pt idx="99">
                  <c:v>1.74532925199433</c:v>
                </c:pt>
                <c:pt idx="100">
                  <c:v>1.76278254451427</c:v>
                </c:pt>
                <c:pt idx="101">
                  <c:v>1.78023583703422</c:v>
                </c:pt>
                <c:pt idx="102">
                  <c:v>1.79768912955416</c:v>
                </c:pt>
                <c:pt idx="103">
                  <c:v>1.8151424220741</c:v>
                </c:pt>
                <c:pt idx="104">
                  <c:v>1.83259571459405</c:v>
                </c:pt>
                <c:pt idx="105">
                  <c:v>1.85004900711399</c:v>
                </c:pt>
                <c:pt idx="106">
                  <c:v>1.86750229963393</c:v>
                </c:pt>
                <c:pt idx="107">
                  <c:v>1.88495559215388</c:v>
                </c:pt>
                <c:pt idx="108">
                  <c:v>1.90240888467382</c:v>
                </c:pt>
                <c:pt idx="109">
                  <c:v>1.91986217719376</c:v>
                </c:pt>
                <c:pt idx="110">
                  <c:v>1.93731546971371</c:v>
                </c:pt>
                <c:pt idx="111">
                  <c:v>1.95476876223365</c:v>
                </c:pt>
                <c:pt idx="112">
                  <c:v>1.97222205475359</c:v>
                </c:pt>
                <c:pt idx="113">
                  <c:v>1.98967534727354</c:v>
                </c:pt>
                <c:pt idx="114">
                  <c:v>2.00712863979348</c:v>
                </c:pt>
                <c:pt idx="115">
                  <c:v>2.02458193231342</c:v>
                </c:pt>
                <c:pt idx="116">
                  <c:v>2.04203522483337</c:v>
                </c:pt>
                <c:pt idx="117">
                  <c:v>2.05948851735331</c:v>
                </c:pt>
                <c:pt idx="118">
                  <c:v>2.07694180987325</c:v>
                </c:pt>
                <c:pt idx="119">
                  <c:v>2.0943951023932</c:v>
                </c:pt>
                <c:pt idx="120">
                  <c:v>2.11184839491314</c:v>
                </c:pt>
                <c:pt idx="121">
                  <c:v>2.12930168743308</c:v>
                </c:pt>
                <c:pt idx="122">
                  <c:v>2.14675497995303</c:v>
                </c:pt>
                <c:pt idx="123">
                  <c:v>2.16420827247297</c:v>
                </c:pt>
                <c:pt idx="124">
                  <c:v>2.18166156499291</c:v>
                </c:pt>
                <c:pt idx="125">
                  <c:v>2.19911485751286</c:v>
                </c:pt>
                <c:pt idx="126">
                  <c:v>2.2165681500328</c:v>
                </c:pt>
                <c:pt idx="127">
                  <c:v>2.23402144255274</c:v>
                </c:pt>
                <c:pt idx="128">
                  <c:v>2.25147473507268</c:v>
                </c:pt>
                <c:pt idx="129">
                  <c:v>2.26892802759263</c:v>
                </c:pt>
                <c:pt idx="130">
                  <c:v>2.28638132011257</c:v>
                </c:pt>
                <c:pt idx="131">
                  <c:v>2.30383461263251</c:v>
                </c:pt>
                <c:pt idx="132">
                  <c:v>2.32128790515246</c:v>
                </c:pt>
                <c:pt idx="133">
                  <c:v>2.3387411976724</c:v>
                </c:pt>
                <c:pt idx="134">
                  <c:v>2.35619449019234</c:v>
                </c:pt>
                <c:pt idx="135">
                  <c:v>2.37364778271229</c:v>
                </c:pt>
                <c:pt idx="136">
                  <c:v>2.39110107523223</c:v>
                </c:pt>
                <c:pt idx="137">
                  <c:v>2.40855436775217</c:v>
                </c:pt>
                <c:pt idx="138">
                  <c:v>2.42600766027212</c:v>
                </c:pt>
                <c:pt idx="139">
                  <c:v>2.44346095279206</c:v>
                </c:pt>
                <c:pt idx="140">
                  <c:v>2.460914245312</c:v>
                </c:pt>
                <c:pt idx="141">
                  <c:v>2.47836753783195</c:v>
                </c:pt>
                <c:pt idx="142">
                  <c:v>2.49582083035189</c:v>
                </c:pt>
                <c:pt idx="143">
                  <c:v>2.51327412287183</c:v>
                </c:pt>
                <c:pt idx="144">
                  <c:v>2.53072741539178</c:v>
                </c:pt>
                <c:pt idx="145">
                  <c:v>2.54818070791172</c:v>
                </c:pt>
                <c:pt idx="146">
                  <c:v>2.56563400043166</c:v>
                </c:pt>
                <c:pt idx="147">
                  <c:v>2.58308729295161</c:v>
                </c:pt>
                <c:pt idx="148">
                  <c:v>2.60054058547155</c:v>
                </c:pt>
                <c:pt idx="149">
                  <c:v>2.61799387799149</c:v>
                </c:pt>
                <c:pt idx="150">
                  <c:v>2.63544717051144</c:v>
                </c:pt>
                <c:pt idx="151">
                  <c:v>2.65290046303138</c:v>
                </c:pt>
                <c:pt idx="152">
                  <c:v>2.67035375555132</c:v>
                </c:pt>
                <c:pt idx="153">
                  <c:v>2.68780704807127</c:v>
                </c:pt>
                <c:pt idx="154">
                  <c:v>2.70526034059121</c:v>
                </c:pt>
                <c:pt idx="155">
                  <c:v>2.72271363311115</c:v>
                </c:pt>
                <c:pt idx="156">
                  <c:v>2.7401669256311</c:v>
                </c:pt>
                <c:pt idx="157">
                  <c:v>2.75762021815104</c:v>
                </c:pt>
                <c:pt idx="158">
                  <c:v>2.77507351067098</c:v>
                </c:pt>
                <c:pt idx="159">
                  <c:v>2.79252680319093</c:v>
                </c:pt>
                <c:pt idx="160">
                  <c:v>2.80998009571087</c:v>
                </c:pt>
                <c:pt idx="161">
                  <c:v>2.82743338823081</c:v>
                </c:pt>
                <c:pt idx="162">
                  <c:v>2.84488668075076</c:v>
                </c:pt>
                <c:pt idx="163">
                  <c:v>2.8623399732707</c:v>
                </c:pt>
                <c:pt idx="164">
                  <c:v>2.87979326579064</c:v>
                </c:pt>
                <c:pt idx="165">
                  <c:v>2.89724655831059</c:v>
                </c:pt>
                <c:pt idx="166">
                  <c:v>2.91469985083053</c:v>
                </c:pt>
                <c:pt idx="167">
                  <c:v>2.93215314335047</c:v>
                </c:pt>
                <c:pt idx="168">
                  <c:v>2.94960643587042</c:v>
                </c:pt>
                <c:pt idx="169">
                  <c:v>2.96705972839036</c:v>
                </c:pt>
                <c:pt idx="170">
                  <c:v>2.9845130209103</c:v>
                </c:pt>
                <c:pt idx="171">
                  <c:v>3.00196631343025</c:v>
                </c:pt>
                <c:pt idx="172">
                  <c:v>3.01941960595019</c:v>
                </c:pt>
                <c:pt idx="173">
                  <c:v>3.03687289847013</c:v>
                </c:pt>
                <c:pt idx="174">
                  <c:v>3.05432619099008</c:v>
                </c:pt>
                <c:pt idx="175">
                  <c:v>3.07177948351002</c:v>
                </c:pt>
                <c:pt idx="176">
                  <c:v>3.08923277602996</c:v>
                </c:pt>
                <c:pt idx="177">
                  <c:v>3.10668606854991</c:v>
                </c:pt>
                <c:pt idx="178">
                  <c:v>3.12413936106985</c:v>
                </c:pt>
                <c:pt idx="179">
                  <c:v>3.14159265358979</c:v>
                </c:pt>
                <c:pt idx="180">
                  <c:v>3.15904594610974</c:v>
                </c:pt>
                <c:pt idx="181">
                  <c:v>3.17649923862968</c:v>
                </c:pt>
                <c:pt idx="182">
                  <c:v>3.19395253114962</c:v>
                </c:pt>
                <c:pt idx="183">
                  <c:v>3.21140582366957</c:v>
                </c:pt>
                <c:pt idx="184">
                  <c:v>3.22885911618951</c:v>
                </c:pt>
                <c:pt idx="185">
                  <c:v>3.24631240870945</c:v>
                </c:pt>
                <c:pt idx="186">
                  <c:v>3.2637657012294</c:v>
                </c:pt>
                <c:pt idx="187">
                  <c:v>3.28121899374934</c:v>
                </c:pt>
                <c:pt idx="188">
                  <c:v>3.29867228626928</c:v>
                </c:pt>
                <c:pt idx="189">
                  <c:v>3.31612557878923</c:v>
                </c:pt>
                <c:pt idx="190">
                  <c:v>3.33357887130917</c:v>
                </c:pt>
                <c:pt idx="191">
                  <c:v>3.35103216382911</c:v>
                </c:pt>
                <c:pt idx="192">
                  <c:v>3.36848545634906</c:v>
                </c:pt>
                <c:pt idx="193">
                  <c:v>3.385938748869</c:v>
                </c:pt>
                <c:pt idx="194">
                  <c:v>3.40339204138894</c:v>
                </c:pt>
                <c:pt idx="195">
                  <c:v>3.42084533390889</c:v>
                </c:pt>
                <c:pt idx="196">
                  <c:v>3.43829862642883</c:v>
                </c:pt>
                <c:pt idx="197">
                  <c:v>3.45575191894877</c:v>
                </c:pt>
                <c:pt idx="198">
                  <c:v>3.47320521146872</c:v>
                </c:pt>
                <c:pt idx="199">
                  <c:v>3.49065850398866</c:v>
                </c:pt>
                <c:pt idx="200">
                  <c:v>3.5081117965086</c:v>
                </c:pt>
                <c:pt idx="201">
                  <c:v>3.52556508902855</c:v>
                </c:pt>
                <c:pt idx="202">
                  <c:v>3.54301838154849</c:v>
                </c:pt>
                <c:pt idx="203">
                  <c:v>3.56047167406843</c:v>
                </c:pt>
                <c:pt idx="204">
                  <c:v>3.57792496658838</c:v>
                </c:pt>
                <c:pt idx="205">
                  <c:v>3.59537825910832</c:v>
                </c:pt>
                <c:pt idx="206">
                  <c:v>3.61283155162826</c:v>
                </c:pt>
                <c:pt idx="207">
                  <c:v>3.63028484414821</c:v>
                </c:pt>
                <c:pt idx="208">
                  <c:v>3.64773813666815</c:v>
                </c:pt>
                <c:pt idx="209">
                  <c:v>3.66519142918809</c:v>
                </c:pt>
                <c:pt idx="210">
                  <c:v>3.68264472170804</c:v>
                </c:pt>
                <c:pt idx="211">
                  <c:v>3.70009801422798</c:v>
                </c:pt>
                <c:pt idx="212">
                  <c:v>3.71755130674792</c:v>
                </c:pt>
                <c:pt idx="213">
                  <c:v>3.73500459926786</c:v>
                </c:pt>
                <c:pt idx="214">
                  <c:v>3.75245789178781</c:v>
                </c:pt>
                <c:pt idx="215">
                  <c:v>3.76991118430775</c:v>
                </c:pt>
                <c:pt idx="216">
                  <c:v>3.7873644768277</c:v>
                </c:pt>
                <c:pt idx="217">
                  <c:v>3.80481776934764</c:v>
                </c:pt>
                <c:pt idx="218">
                  <c:v>3.82227106186758</c:v>
                </c:pt>
                <c:pt idx="219">
                  <c:v>3.83972435438752</c:v>
                </c:pt>
                <c:pt idx="220">
                  <c:v>3.85717764690747</c:v>
                </c:pt>
                <c:pt idx="221">
                  <c:v>3.87463093942741</c:v>
                </c:pt>
                <c:pt idx="222">
                  <c:v>3.89208423194735</c:v>
                </c:pt>
                <c:pt idx="223">
                  <c:v>3.9095375244673</c:v>
                </c:pt>
                <c:pt idx="224">
                  <c:v>3.92699081698724</c:v>
                </c:pt>
                <c:pt idx="225">
                  <c:v>3.94444410950718</c:v>
                </c:pt>
                <c:pt idx="226">
                  <c:v>3.96189740202713</c:v>
                </c:pt>
                <c:pt idx="227">
                  <c:v>3.97935069454707</c:v>
                </c:pt>
                <c:pt idx="228">
                  <c:v>3.99680398706701</c:v>
                </c:pt>
                <c:pt idx="229">
                  <c:v>4.01425727958696</c:v>
                </c:pt>
                <c:pt idx="230">
                  <c:v>4.0317105721069</c:v>
                </c:pt>
                <c:pt idx="231">
                  <c:v>4.04916386462685</c:v>
                </c:pt>
                <c:pt idx="232">
                  <c:v>4.06661715714679</c:v>
                </c:pt>
                <c:pt idx="233">
                  <c:v>4.08407044966673</c:v>
                </c:pt>
                <c:pt idx="234">
                  <c:v>4.10152374218667</c:v>
                </c:pt>
                <c:pt idx="235">
                  <c:v>4.11897703470662</c:v>
                </c:pt>
                <c:pt idx="236">
                  <c:v>4.13643032722656</c:v>
                </c:pt>
                <c:pt idx="237">
                  <c:v>4.1538836197465</c:v>
                </c:pt>
                <c:pt idx="238">
                  <c:v>4.17133691226645</c:v>
                </c:pt>
                <c:pt idx="239">
                  <c:v>4.18879020478639</c:v>
                </c:pt>
                <c:pt idx="240">
                  <c:v>4.20624349730633</c:v>
                </c:pt>
                <c:pt idx="241">
                  <c:v>4.22369678982628</c:v>
                </c:pt>
                <c:pt idx="242">
                  <c:v>4.24115008234622</c:v>
                </c:pt>
                <c:pt idx="243">
                  <c:v>4.25860337486616</c:v>
                </c:pt>
                <c:pt idx="244">
                  <c:v>4.27605666738611</c:v>
                </c:pt>
                <c:pt idx="245">
                  <c:v>4.29350995990605</c:v>
                </c:pt>
                <c:pt idx="246">
                  <c:v>4.31096325242599</c:v>
                </c:pt>
                <c:pt idx="247">
                  <c:v>4.32841654494594</c:v>
                </c:pt>
                <c:pt idx="248">
                  <c:v>4.34586983746588</c:v>
                </c:pt>
                <c:pt idx="249">
                  <c:v>4.36332312998582</c:v>
                </c:pt>
                <c:pt idx="250">
                  <c:v>4.38077642250577</c:v>
                </c:pt>
                <c:pt idx="251">
                  <c:v>4.39822971502571</c:v>
                </c:pt>
                <c:pt idx="252">
                  <c:v>4.41568300754565</c:v>
                </c:pt>
                <c:pt idx="253">
                  <c:v>4.4331363000656</c:v>
                </c:pt>
                <c:pt idx="254">
                  <c:v>4.45058959258554</c:v>
                </c:pt>
                <c:pt idx="255">
                  <c:v>4.46804288510548</c:v>
                </c:pt>
                <c:pt idx="256">
                  <c:v>4.48549617762543</c:v>
                </c:pt>
                <c:pt idx="257">
                  <c:v>4.50294947014537</c:v>
                </c:pt>
                <c:pt idx="258">
                  <c:v>4.52040276266531</c:v>
                </c:pt>
                <c:pt idx="259">
                  <c:v>4.53785605518526</c:v>
                </c:pt>
                <c:pt idx="260">
                  <c:v>4.5553093477052</c:v>
                </c:pt>
                <c:pt idx="261">
                  <c:v>4.57276264022514</c:v>
                </c:pt>
                <c:pt idx="262">
                  <c:v>4.59021593274509</c:v>
                </c:pt>
                <c:pt idx="263">
                  <c:v>4.60766922526503</c:v>
                </c:pt>
                <c:pt idx="264">
                  <c:v>4.62512251778497</c:v>
                </c:pt>
                <c:pt idx="265">
                  <c:v>4.64257581030492</c:v>
                </c:pt>
                <c:pt idx="266">
                  <c:v>4.66002910282486</c:v>
                </c:pt>
                <c:pt idx="267">
                  <c:v>4.6774823953448</c:v>
                </c:pt>
                <c:pt idx="268">
                  <c:v>4.69493568786475</c:v>
                </c:pt>
                <c:pt idx="269">
                  <c:v>4.71238898038469</c:v>
                </c:pt>
                <c:pt idx="270">
                  <c:v>4.72984227290463</c:v>
                </c:pt>
                <c:pt idx="271">
                  <c:v>4.74729556542458</c:v>
                </c:pt>
                <c:pt idx="272">
                  <c:v>4.76474885794452</c:v>
                </c:pt>
                <c:pt idx="273">
                  <c:v>4.78220215046446</c:v>
                </c:pt>
                <c:pt idx="274">
                  <c:v>4.79965544298441</c:v>
                </c:pt>
                <c:pt idx="275">
                  <c:v>4.81710873550435</c:v>
                </c:pt>
                <c:pt idx="276">
                  <c:v>4.83456202802429</c:v>
                </c:pt>
                <c:pt idx="277">
                  <c:v>4.85201532054424</c:v>
                </c:pt>
                <c:pt idx="278">
                  <c:v>4.86946861306418</c:v>
                </c:pt>
                <c:pt idx="279">
                  <c:v>4.88692190558412</c:v>
                </c:pt>
                <c:pt idx="280">
                  <c:v>4.90437519810407</c:v>
                </c:pt>
                <c:pt idx="281">
                  <c:v>4.92182849062401</c:v>
                </c:pt>
                <c:pt idx="282">
                  <c:v>4.93928178314395</c:v>
                </c:pt>
                <c:pt idx="283">
                  <c:v>4.9567350756639</c:v>
                </c:pt>
                <c:pt idx="284">
                  <c:v>4.97418836818384</c:v>
                </c:pt>
                <c:pt idx="285">
                  <c:v>4.99164166070378</c:v>
                </c:pt>
                <c:pt idx="286">
                  <c:v>5.00909495322373</c:v>
                </c:pt>
                <c:pt idx="287">
                  <c:v>5.02654824574367</c:v>
                </c:pt>
                <c:pt idx="288">
                  <c:v>5.04400153826361</c:v>
                </c:pt>
                <c:pt idx="289">
                  <c:v>5.06145483078356</c:v>
                </c:pt>
                <c:pt idx="290">
                  <c:v>5.0789081233035</c:v>
                </c:pt>
                <c:pt idx="291">
                  <c:v>5.09636141582344</c:v>
                </c:pt>
                <c:pt idx="292">
                  <c:v>5.11381470834339</c:v>
                </c:pt>
                <c:pt idx="293">
                  <c:v>5.13126800086333</c:v>
                </c:pt>
                <c:pt idx="294">
                  <c:v>5.14872129338327</c:v>
                </c:pt>
                <c:pt idx="295">
                  <c:v>5.16617458590322</c:v>
                </c:pt>
                <c:pt idx="296">
                  <c:v>5.18362787842316</c:v>
                </c:pt>
                <c:pt idx="297">
                  <c:v>5.2010811709431</c:v>
                </c:pt>
                <c:pt idx="298">
                  <c:v>5.21853446346305</c:v>
                </c:pt>
                <c:pt idx="299">
                  <c:v>5.23598775598299</c:v>
                </c:pt>
                <c:pt idx="300">
                  <c:v>5.25344104850293</c:v>
                </c:pt>
                <c:pt idx="301">
                  <c:v>5.27089434102288</c:v>
                </c:pt>
                <c:pt idx="302">
                  <c:v>5.28834763354282</c:v>
                </c:pt>
                <c:pt idx="303">
                  <c:v>5.30580092606276</c:v>
                </c:pt>
                <c:pt idx="304">
                  <c:v>5.32325421858271</c:v>
                </c:pt>
                <c:pt idx="305">
                  <c:v>5.34070751110265</c:v>
                </c:pt>
                <c:pt idx="306">
                  <c:v>5.35816080362259</c:v>
                </c:pt>
                <c:pt idx="307">
                  <c:v>5.37561409614254</c:v>
                </c:pt>
                <c:pt idx="308">
                  <c:v>5.39306738866248</c:v>
                </c:pt>
                <c:pt idx="309">
                  <c:v>5.41052068118242</c:v>
                </c:pt>
                <c:pt idx="310">
                  <c:v>5.42797397370237</c:v>
                </c:pt>
                <c:pt idx="311">
                  <c:v>5.44542726622231</c:v>
                </c:pt>
                <c:pt idx="312">
                  <c:v>5.46288055874225</c:v>
                </c:pt>
                <c:pt idx="313">
                  <c:v>5.4803338512622</c:v>
                </c:pt>
                <c:pt idx="314">
                  <c:v>5.49778714378214</c:v>
                </c:pt>
                <c:pt idx="315">
                  <c:v>5.51524043630208</c:v>
                </c:pt>
                <c:pt idx="316">
                  <c:v>5.53269372882203</c:v>
                </c:pt>
                <c:pt idx="317">
                  <c:v>5.55014702134197</c:v>
                </c:pt>
                <c:pt idx="318">
                  <c:v>5.56760031386191</c:v>
                </c:pt>
                <c:pt idx="319">
                  <c:v>5.58505360638185</c:v>
                </c:pt>
                <c:pt idx="320">
                  <c:v>5.6025068989018</c:v>
                </c:pt>
                <c:pt idx="321">
                  <c:v>5.61996019142174</c:v>
                </c:pt>
                <c:pt idx="322">
                  <c:v>5.63741348394168</c:v>
                </c:pt>
                <c:pt idx="323">
                  <c:v>5.65486677646163</c:v>
                </c:pt>
                <c:pt idx="324">
                  <c:v>5.67232006898157</c:v>
                </c:pt>
                <c:pt idx="325">
                  <c:v>5.68977336150152</c:v>
                </c:pt>
                <c:pt idx="326">
                  <c:v>5.70722665402146</c:v>
                </c:pt>
                <c:pt idx="327">
                  <c:v>5.7246799465414</c:v>
                </c:pt>
                <c:pt idx="328">
                  <c:v>5.74213323906134</c:v>
                </c:pt>
                <c:pt idx="329">
                  <c:v>5.75958653158129</c:v>
                </c:pt>
                <c:pt idx="330">
                  <c:v>5.77703982410123</c:v>
                </c:pt>
                <c:pt idx="331">
                  <c:v>5.79449311662117</c:v>
                </c:pt>
                <c:pt idx="332">
                  <c:v>5.81194640914112</c:v>
                </c:pt>
                <c:pt idx="333">
                  <c:v>5.82939970166106</c:v>
                </c:pt>
                <c:pt idx="334">
                  <c:v>5.846852994181</c:v>
                </c:pt>
                <c:pt idx="335">
                  <c:v>5.86430628670095</c:v>
                </c:pt>
                <c:pt idx="336">
                  <c:v>5.88175957922089</c:v>
                </c:pt>
                <c:pt idx="337">
                  <c:v>5.89921287174083</c:v>
                </c:pt>
                <c:pt idx="338">
                  <c:v>5.91666616426078</c:v>
                </c:pt>
                <c:pt idx="339">
                  <c:v>5.93411945678072</c:v>
                </c:pt>
                <c:pt idx="340">
                  <c:v>5.95157274930066</c:v>
                </c:pt>
                <c:pt idx="341">
                  <c:v>5.96902604182061</c:v>
                </c:pt>
                <c:pt idx="342">
                  <c:v>5.98647933434055</c:v>
                </c:pt>
                <c:pt idx="343">
                  <c:v>6.00393262686049</c:v>
                </c:pt>
                <c:pt idx="344">
                  <c:v>6.02138591938044</c:v>
                </c:pt>
                <c:pt idx="345">
                  <c:v>6.03883921190038</c:v>
                </c:pt>
                <c:pt idx="346">
                  <c:v>6.05629250442032</c:v>
                </c:pt>
                <c:pt idx="347">
                  <c:v>6.07374579694027</c:v>
                </c:pt>
                <c:pt idx="348">
                  <c:v>6.09119908946021</c:v>
                </c:pt>
                <c:pt idx="349">
                  <c:v>6.10865238198015</c:v>
                </c:pt>
                <c:pt idx="350">
                  <c:v>6.1261056745001</c:v>
                </c:pt>
                <c:pt idx="351">
                  <c:v>6.14355896702004</c:v>
                </c:pt>
                <c:pt idx="352">
                  <c:v>6.16101225953998</c:v>
                </c:pt>
                <c:pt idx="353">
                  <c:v>6.17846555205993</c:v>
                </c:pt>
                <c:pt idx="354">
                  <c:v>6.19591884457987</c:v>
                </c:pt>
                <c:pt idx="355">
                  <c:v>6.21337213709981</c:v>
                </c:pt>
                <c:pt idx="356">
                  <c:v>6.23082542961976</c:v>
                </c:pt>
                <c:pt idx="357">
                  <c:v>6.2482787221397</c:v>
                </c:pt>
                <c:pt idx="358">
                  <c:v>6.26573201465964</c:v>
                </c:pt>
                <c:pt idx="359">
                  <c:v>6.28318530717959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0.0174524064372835</c:v>
                </c:pt>
                <c:pt idx="1">
                  <c:v>0.034899496702501</c:v>
                </c:pt>
                <c:pt idx="2">
                  <c:v>0.0523359562429438</c:v>
                </c:pt>
                <c:pt idx="3">
                  <c:v>0.0697564737441253</c:v>
                </c:pt>
                <c:pt idx="4">
                  <c:v>0.0871557427476582</c:v>
                </c:pt>
                <c:pt idx="5">
                  <c:v>0.104528463267653</c:v>
                </c:pt>
                <c:pt idx="6">
                  <c:v>0.121869343405147</c:v>
                </c:pt>
                <c:pt idx="7">
                  <c:v>0.139173100960065</c:v>
                </c:pt>
                <c:pt idx="8">
                  <c:v>0.156434465040231</c:v>
                </c:pt>
                <c:pt idx="9">
                  <c:v>0.17364817766693</c:v>
                </c:pt>
                <c:pt idx="10">
                  <c:v>0.190808995376545</c:v>
                </c:pt>
                <c:pt idx="11">
                  <c:v>0.207911690817759</c:v>
                </c:pt>
                <c:pt idx="12">
                  <c:v>0.224951054343865</c:v>
                </c:pt>
                <c:pt idx="13">
                  <c:v>0.241921895599668</c:v>
                </c:pt>
                <c:pt idx="14">
                  <c:v>0.258819045102521</c:v>
                </c:pt>
                <c:pt idx="15">
                  <c:v>0.275637355816999</c:v>
                </c:pt>
                <c:pt idx="16">
                  <c:v>0.292371704722737</c:v>
                </c:pt>
                <c:pt idx="17">
                  <c:v>0.309016994374947</c:v>
                </c:pt>
                <c:pt idx="18">
                  <c:v>0.325568154457157</c:v>
                </c:pt>
                <c:pt idx="19">
                  <c:v>0.342020143325669</c:v>
                </c:pt>
                <c:pt idx="20">
                  <c:v>0.3583679495453</c:v>
                </c:pt>
                <c:pt idx="21">
                  <c:v>0.374606593415912</c:v>
                </c:pt>
                <c:pt idx="22">
                  <c:v>0.390731128489274</c:v>
                </c:pt>
                <c:pt idx="23">
                  <c:v>0.4067366430758</c:v>
                </c:pt>
                <c:pt idx="24">
                  <c:v>0.422618261740699</c:v>
                </c:pt>
                <c:pt idx="25">
                  <c:v>0.438371146789077</c:v>
                </c:pt>
                <c:pt idx="26">
                  <c:v>0.453990499739547</c:v>
                </c:pt>
                <c:pt idx="27">
                  <c:v>0.469471562785891</c:v>
                </c:pt>
                <c:pt idx="28">
                  <c:v>0.484809620246337</c:v>
                </c:pt>
                <c:pt idx="29">
                  <c:v>0.5</c:v>
                </c:pt>
                <c:pt idx="30">
                  <c:v>0.515038074910054</c:v>
                </c:pt>
                <c:pt idx="31">
                  <c:v>0.529919264233205</c:v>
                </c:pt>
                <c:pt idx="32">
                  <c:v>0.544639035015027</c:v>
                </c:pt>
                <c:pt idx="33">
                  <c:v>0.559192903470747</c:v>
                </c:pt>
                <c:pt idx="34">
                  <c:v>0.573576436351046</c:v>
                </c:pt>
                <c:pt idx="35">
                  <c:v>0.587785252292473</c:v>
                </c:pt>
                <c:pt idx="36">
                  <c:v>0.601815023152048</c:v>
                </c:pt>
                <c:pt idx="37">
                  <c:v>0.615661475325658</c:v>
                </c:pt>
                <c:pt idx="38">
                  <c:v>0.629320391049837</c:v>
                </c:pt>
                <c:pt idx="39">
                  <c:v>0.642787609686539</c:v>
                </c:pt>
                <c:pt idx="40">
                  <c:v>0.656059028990507</c:v>
                </c:pt>
                <c:pt idx="41">
                  <c:v>0.669130606358858</c:v>
                </c:pt>
                <c:pt idx="42">
                  <c:v>0.681998360062499</c:v>
                </c:pt>
                <c:pt idx="43">
                  <c:v>0.694658370458997</c:v>
                </c:pt>
                <c:pt idx="44">
                  <c:v>0.707106781186548</c:v>
                </c:pt>
                <c:pt idx="45">
                  <c:v>0.719339800338651</c:v>
                </c:pt>
                <c:pt idx="46">
                  <c:v>0.73135370161917</c:v>
                </c:pt>
                <c:pt idx="47">
                  <c:v>0.743144825477394</c:v>
                </c:pt>
                <c:pt idx="48">
                  <c:v>0.754709580222772</c:v>
                </c:pt>
                <c:pt idx="49">
                  <c:v>0.766044443118978</c:v>
                </c:pt>
                <c:pt idx="50">
                  <c:v>0.777145961456971</c:v>
                </c:pt>
                <c:pt idx="51">
                  <c:v>0.788010753606722</c:v>
                </c:pt>
                <c:pt idx="52">
                  <c:v>0.798635510047293</c:v>
                </c:pt>
                <c:pt idx="53">
                  <c:v>0.809016994374947</c:v>
                </c:pt>
                <c:pt idx="54">
                  <c:v>0.819152044288992</c:v>
                </c:pt>
                <c:pt idx="55">
                  <c:v>0.829037572555042</c:v>
                </c:pt>
                <c:pt idx="56">
                  <c:v>0.838670567945424</c:v>
                </c:pt>
                <c:pt idx="57">
                  <c:v>0.848048096156426</c:v>
                </c:pt>
                <c:pt idx="58">
                  <c:v>0.857167300702112</c:v>
                </c:pt>
                <c:pt idx="59">
                  <c:v>0.866025403784439</c:v>
                </c:pt>
                <c:pt idx="60">
                  <c:v>0.874619707139396</c:v>
                </c:pt>
                <c:pt idx="61">
                  <c:v>0.882947592858927</c:v>
                </c:pt>
                <c:pt idx="62">
                  <c:v>0.891006524188368</c:v>
                </c:pt>
                <c:pt idx="63">
                  <c:v>0.898794046299167</c:v>
                </c:pt>
                <c:pt idx="64">
                  <c:v>0.90630778703665</c:v>
                </c:pt>
                <c:pt idx="65">
                  <c:v>0.913545457642601</c:v>
                </c:pt>
                <c:pt idx="66">
                  <c:v>0.92050485345244</c:v>
                </c:pt>
                <c:pt idx="67">
                  <c:v>0.927183854566787</c:v>
                </c:pt>
                <c:pt idx="68">
                  <c:v>0.933580426497202</c:v>
                </c:pt>
                <c:pt idx="69">
                  <c:v>0.939692620785908</c:v>
                </c:pt>
                <c:pt idx="70">
                  <c:v>0.945518575599317</c:v>
                </c:pt>
                <c:pt idx="71">
                  <c:v>0.951056516295153</c:v>
                </c:pt>
                <c:pt idx="72">
                  <c:v>0.956304755963035</c:v>
                </c:pt>
                <c:pt idx="73">
                  <c:v>0.961261695938319</c:v>
                </c:pt>
                <c:pt idx="74">
                  <c:v>0.965925826289068</c:v>
                </c:pt>
                <c:pt idx="75">
                  <c:v>0.970295726275996</c:v>
                </c:pt>
                <c:pt idx="76">
                  <c:v>0.974370064785235</c:v>
                </c:pt>
                <c:pt idx="77">
                  <c:v>0.978147600733806</c:v>
                </c:pt>
                <c:pt idx="78">
                  <c:v>0.981627183447664</c:v>
                </c:pt>
                <c:pt idx="79">
                  <c:v>0.984807753012208</c:v>
                </c:pt>
                <c:pt idx="80">
                  <c:v>0.987688340595138</c:v>
                </c:pt>
                <c:pt idx="81">
                  <c:v>0.99026806874157</c:v>
                </c:pt>
                <c:pt idx="82">
                  <c:v>0.992546151641322</c:v>
                </c:pt>
                <c:pt idx="83">
                  <c:v>0.994521895368273</c:v>
                </c:pt>
                <c:pt idx="84">
                  <c:v>0.996194698091746</c:v>
                </c:pt>
                <c:pt idx="85">
                  <c:v>0.997564050259824</c:v>
                </c:pt>
                <c:pt idx="86">
                  <c:v>0.998629534754574</c:v>
                </c:pt>
                <c:pt idx="87">
                  <c:v>0.999390827019096</c:v>
                </c:pt>
                <c:pt idx="88">
                  <c:v>0.999847695156391</c:v>
                </c:pt>
                <c:pt idx="89">
                  <c:v>1</c:v>
                </c:pt>
                <c:pt idx="90">
                  <c:v>0.999847695156391</c:v>
                </c:pt>
                <c:pt idx="91">
                  <c:v>0.999390827019096</c:v>
                </c:pt>
                <c:pt idx="92">
                  <c:v>0.998629534754574</c:v>
                </c:pt>
                <c:pt idx="93">
                  <c:v>0.997564050259824</c:v>
                </c:pt>
                <c:pt idx="94">
                  <c:v>0.996194698091746</c:v>
                </c:pt>
                <c:pt idx="95">
                  <c:v>0.994521895368273</c:v>
                </c:pt>
                <c:pt idx="96">
                  <c:v>0.992546151641322</c:v>
                </c:pt>
                <c:pt idx="97">
                  <c:v>0.99026806874157</c:v>
                </c:pt>
                <c:pt idx="98">
                  <c:v>0.987688340595138</c:v>
                </c:pt>
                <c:pt idx="99">
                  <c:v>0.984807753012208</c:v>
                </c:pt>
                <c:pt idx="100">
                  <c:v>0.981627183447664</c:v>
                </c:pt>
                <c:pt idx="101">
                  <c:v>0.978147600733806</c:v>
                </c:pt>
                <c:pt idx="102">
                  <c:v>0.974370064785235</c:v>
                </c:pt>
                <c:pt idx="103">
                  <c:v>0.970295726275996</c:v>
                </c:pt>
                <c:pt idx="104">
                  <c:v>0.965925826289068</c:v>
                </c:pt>
                <c:pt idx="105">
                  <c:v>0.961261695938319</c:v>
                </c:pt>
                <c:pt idx="106">
                  <c:v>0.956304755963036</c:v>
                </c:pt>
                <c:pt idx="107">
                  <c:v>0.951056516295154</c:v>
                </c:pt>
                <c:pt idx="108">
                  <c:v>0.945518575599317</c:v>
                </c:pt>
                <c:pt idx="109">
                  <c:v>0.939692620785908</c:v>
                </c:pt>
                <c:pt idx="110">
                  <c:v>0.933580426497202</c:v>
                </c:pt>
                <c:pt idx="111">
                  <c:v>0.927183854566787</c:v>
                </c:pt>
                <c:pt idx="112">
                  <c:v>0.92050485345244</c:v>
                </c:pt>
                <c:pt idx="113">
                  <c:v>0.913545457642601</c:v>
                </c:pt>
                <c:pt idx="114">
                  <c:v>0.90630778703665</c:v>
                </c:pt>
                <c:pt idx="115">
                  <c:v>0.898794046299167</c:v>
                </c:pt>
                <c:pt idx="116">
                  <c:v>0.891006524188368</c:v>
                </c:pt>
                <c:pt idx="117">
                  <c:v>0.882947592858927</c:v>
                </c:pt>
                <c:pt idx="118">
                  <c:v>0.874619707139396</c:v>
                </c:pt>
                <c:pt idx="119">
                  <c:v>0.866025403784439</c:v>
                </c:pt>
                <c:pt idx="120">
                  <c:v>0.857167300702112</c:v>
                </c:pt>
                <c:pt idx="121">
                  <c:v>0.848048096156426</c:v>
                </c:pt>
                <c:pt idx="122">
                  <c:v>0.838670567945424</c:v>
                </c:pt>
                <c:pt idx="123">
                  <c:v>0.829037572555042</c:v>
                </c:pt>
                <c:pt idx="124">
                  <c:v>0.819152044288992</c:v>
                </c:pt>
                <c:pt idx="125">
                  <c:v>0.809016994374947</c:v>
                </c:pt>
                <c:pt idx="126">
                  <c:v>0.798635510047293</c:v>
                </c:pt>
                <c:pt idx="127">
                  <c:v>0.788010753606722</c:v>
                </c:pt>
                <c:pt idx="128">
                  <c:v>0.777145961456971</c:v>
                </c:pt>
                <c:pt idx="129">
                  <c:v>0.766044443118978</c:v>
                </c:pt>
                <c:pt idx="130">
                  <c:v>0.754709580222772</c:v>
                </c:pt>
                <c:pt idx="131">
                  <c:v>0.743144825477394</c:v>
                </c:pt>
                <c:pt idx="132">
                  <c:v>0.731353701619171</c:v>
                </c:pt>
                <c:pt idx="133">
                  <c:v>0.719339800338651</c:v>
                </c:pt>
                <c:pt idx="134">
                  <c:v>0.707106781186548</c:v>
                </c:pt>
                <c:pt idx="135">
                  <c:v>0.694658370458997</c:v>
                </c:pt>
                <c:pt idx="136">
                  <c:v>0.681998360062499</c:v>
                </c:pt>
                <c:pt idx="137">
                  <c:v>0.669130606358858</c:v>
                </c:pt>
                <c:pt idx="138">
                  <c:v>0.656059028990507</c:v>
                </c:pt>
                <c:pt idx="139">
                  <c:v>0.642787609686539</c:v>
                </c:pt>
                <c:pt idx="140">
                  <c:v>0.629320391049837</c:v>
                </c:pt>
                <c:pt idx="141">
                  <c:v>0.615661475325658</c:v>
                </c:pt>
                <c:pt idx="142">
                  <c:v>0.601815023152048</c:v>
                </c:pt>
                <c:pt idx="143">
                  <c:v>0.587785252292473</c:v>
                </c:pt>
                <c:pt idx="144">
                  <c:v>0.573576436351046</c:v>
                </c:pt>
                <c:pt idx="145">
                  <c:v>0.559192903470747</c:v>
                </c:pt>
                <c:pt idx="146">
                  <c:v>0.544639035015027</c:v>
                </c:pt>
                <c:pt idx="147">
                  <c:v>0.529919264233205</c:v>
                </c:pt>
                <c:pt idx="148">
                  <c:v>0.515038074910054</c:v>
                </c:pt>
                <c:pt idx="149">
                  <c:v>0.5</c:v>
                </c:pt>
                <c:pt idx="150">
                  <c:v>0.484809620246337</c:v>
                </c:pt>
                <c:pt idx="151">
                  <c:v>0.469471562785891</c:v>
                </c:pt>
                <c:pt idx="152">
                  <c:v>0.453990499739547</c:v>
                </c:pt>
                <c:pt idx="153">
                  <c:v>0.438371146789077</c:v>
                </c:pt>
                <c:pt idx="154">
                  <c:v>0.422618261740699</c:v>
                </c:pt>
                <c:pt idx="155">
                  <c:v>0.4067366430758</c:v>
                </c:pt>
                <c:pt idx="156">
                  <c:v>0.390731128489274</c:v>
                </c:pt>
                <c:pt idx="157">
                  <c:v>0.374606593415912</c:v>
                </c:pt>
                <c:pt idx="158">
                  <c:v>0.3583679495453</c:v>
                </c:pt>
                <c:pt idx="159">
                  <c:v>0.342020143325669</c:v>
                </c:pt>
                <c:pt idx="160">
                  <c:v>0.325568154457157</c:v>
                </c:pt>
                <c:pt idx="161">
                  <c:v>0.309016994374947</c:v>
                </c:pt>
                <c:pt idx="162">
                  <c:v>0.292371704722737</c:v>
                </c:pt>
                <c:pt idx="163">
                  <c:v>0.275637355816999</c:v>
                </c:pt>
                <c:pt idx="164">
                  <c:v>0.258819045102521</c:v>
                </c:pt>
                <c:pt idx="165">
                  <c:v>0.241921895599668</c:v>
                </c:pt>
                <c:pt idx="166">
                  <c:v>0.224951054343865</c:v>
                </c:pt>
                <c:pt idx="167">
                  <c:v>0.207911690817759</c:v>
                </c:pt>
                <c:pt idx="168">
                  <c:v>0.190808995376545</c:v>
                </c:pt>
                <c:pt idx="169">
                  <c:v>0.17364817766693</c:v>
                </c:pt>
                <c:pt idx="170">
                  <c:v>0.156434465040231</c:v>
                </c:pt>
                <c:pt idx="171">
                  <c:v>0.139173100960065</c:v>
                </c:pt>
                <c:pt idx="172">
                  <c:v>0.121869343405148</c:v>
                </c:pt>
                <c:pt idx="173">
                  <c:v>0.104528463267654</c:v>
                </c:pt>
                <c:pt idx="174">
                  <c:v>0.0871557427476582</c:v>
                </c:pt>
                <c:pt idx="175">
                  <c:v>0.0697564737441255</c:v>
                </c:pt>
                <c:pt idx="176">
                  <c:v>0.0523359562429438</c:v>
                </c:pt>
                <c:pt idx="177">
                  <c:v>0.0348994967025011</c:v>
                </c:pt>
                <c:pt idx="178">
                  <c:v>0.0174524064372834</c:v>
                </c:pt>
                <c:pt idx="179">
                  <c:v>1.22464679914735E-016</c:v>
                </c:pt>
                <c:pt idx="180">
                  <c:v>-0.0174524064372836</c:v>
                </c:pt>
                <c:pt idx="181">
                  <c:v>-0.0348994967025009</c:v>
                </c:pt>
                <c:pt idx="182">
                  <c:v>-0.0523359562429436</c:v>
                </c:pt>
                <c:pt idx="183">
                  <c:v>-0.0697564737441253</c:v>
                </c:pt>
                <c:pt idx="184">
                  <c:v>-0.0871557427476579</c:v>
                </c:pt>
                <c:pt idx="185">
                  <c:v>-0.104528463267653</c:v>
                </c:pt>
                <c:pt idx="186">
                  <c:v>-0.121869343405147</c:v>
                </c:pt>
                <c:pt idx="187">
                  <c:v>-0.139173100960066</c:v>
                </c:pt>
                <c:pt idx="188">
                  <c:v>-0.156434465040231</c:v>
                </c:pt>
                <c:pt idx="189">
                  <c:v>-0.17364817766693</c:v>
                </c:pt>
                <c:pt idx="190">
                  <c:v>-0.190808995376545</c:v>
                </c:pt>
                <c:pt idx="191">
                  <c:v>-0.207911690817759</c:v>
                </c:pt>
                <c:pt idx="192">
                  <c:v>-0.224951054343865</c:v>
                </c:pt>
                <c:pt idx="193">
                  <c:v>-0.241921895599667</c:v>
                </c:pt>
                <c:pt idx="194">
                  <c:v>-0.258819045102521</c:v>
                </c:pt>
                <c:pt idx="195">
                  <c:v>-0.275637355816999</c:v>
                </c:pt>
                <c:pt idx="196">
                  <c:v>-0.292371704722737</c:v>
                </c:pt>
                <c:pt idx="197">
                  <c:v>-0.309016994374947</c:v>
                </c:pt>
                <c:pt idx="198">
                  <c:v>-0.325568154457157</c:v>
                </c:pt>
                <c:pt idx="199">
                  <c:v>-0.342020143325669</c:v>
                </c:pt>
                <c:pt idx="200">
                  <c:v>-0.3583679495453</c:v>
                </c:pt>
                <c:pt idx="201">
                  <c:v>-0.374606593415912</c:v>
                </c:pt>
                <c:pt idx="202">
                  <c:v>-0.390731128489274</c:v>
                </c:pt>
                <c:pt idx="203">
                  <c:v>-0.4067366430758</c:v>
                </c:pt>
                <c:pt idx="204">
                  <c:v>-0.422618261740699</c:v>
                </c:pt>
                <c:pt idx="205">
                  <c:v>-0.438371146789077</c:v>
                </c:pt>
                <c:pt idx="206">
                  <c:v>-0.453990499739547</c:v>
                </c:pt>
                <c:pt idx="207">
                  <c:v>-0.469471562785891</c:v>
                </c:pt>
                <c:pt idx="208">
                  <c:v>-0.484809620246337</c:v>
                </c:pt>
                <c:pt idx="209">
                  <c:v>-0.5</c:v>
                </c:pt>
                <c:pt idx="210">
                  <c:v>-0.515038074910054</c:v>
                </c:pt>
                <c:pt idx="211">
                  <c:v>-0.529919264233205</c:v>
                </c:pt>
                <c:pt idx="212">
                  <c:v>-0.544639035015027</c:v>
                </c:pt>
                <c:pt idx="213">
                  <c:v>-0.559192903470747</c:v>
                </c:pt>
                <c:pt idx="214">
                  <c:v>-0.573576436351046</c:v>
                </c:pt>
                <c:pt idx="215">
                  <c:v>-0.587785252292473</c:v>
                </c:pt>
                <c:pt idx="216">
                  <c:v>-0.601815023152048</c:v>
                </c:pt>
                <c:pt idx="217">
                  <c:v>-0.615661475325658</c:v>
                </c:pt>
                <c:pt idx="218">
                  <c:v>-0.629320391049838</c:v>
                </c:pt>
                <c:pt idx="219">
                  <c:v>-0.642787609686539</c:v>
                </c:pt>
                <c:pt idx="220">
                  <c:v>-0.656059028990507</c:v>
                </c:pt>
                <c:pt idx="221">
                  <c:v>-0.669130606358858</c:v>
                </c:pt>
                <c:pt idx="222">
                  <c:v>-0.681998360062498</c:v>
                </c:pt>
                <c:pt idx="223">
                  <c:v>-0.694658370458997</c:v>
                </c:pt>
                <c:pt idx="224">
                  <c:v>-0.707106781186547</c:v>
                </c:pt>
                <c:pt idx="225">
                  <c:v>-0.719339800338651</c:v>
                </c:pt>
                <c:pt idx="226">
                  <c:v>-0.73135370161917</c:v>
                </c:pt>
                <c:pt idx="227">
                  <c:v>-0.743144825477394</c:v>
                </c:pt>
                <c:pt idx="228">
                  <c:v>-0.754709580222772</c:v>
                </c:pt>
                <c:pt idx="229">
                  <c:v>-0.766044443118978</c:v>
                </c:pt>
                <c:pt idx="230">
                  <c:v>-0.777145961456971</c:v>
                </c:pt>
                <c:pt idx="231">
                  <c:v>-0.788010753606722</c:v>
                </c:pt>
                <c:pt idx="232">
                  <c:v>-0.798635510047293</c:v>
                </c:pt>
                <c:pt idx="233">
                  <c:v>-0.809016994374947</c:v>
                </c:pt>
                <c:pt idx="234">
                  <c:v>-0.819152044288992</c:v>
                </c:pt>
                <c:pt idx="235">
                  <c:v>-0.829037572555042</c:v>
                </c:pt>
                <c:pt idx="236">
                  <c:v>-0.838670567945424</c:v>
                </c:pt>
                <c:pt idx="237">
                  <c:v>-0.848048096156426</c:v>
                </c:pt>
                <c:pt idx="238">
                  <c:v>-0.857167300702112</c:v>
                </c:pt>
                <c:pt idx="239">
                  <c:v>-0.866025403784438</c:v>
                </c:pt>
                <c:pt idx="240">
                  <c:v>-0.874619707139396</c:v>
                </c:pt>
                <c:pt idx="241">
                  <c:v>-0.882947592858927</c:v>
                </c:pt>
                <c:pt idx="242">
                  <c:v>-0.891006524188368</c:v>
                </c:pt>
                <c:pt idx="243">
                  <c:v>-0.898794046299167</c:v>
                </c:pt>
                <c:pt idx="244">
                  <c:v>-0.90630778703665</c:v>
                </c:pt>
                <c:pt idx="245">
                  <c:v>-0.913545457642601</c:v>
                </c:pt>
                <c:pt idx="246">
                  <c:v>-0.92050485345244</c:v>
                </c:pt>
                <c:pt idx="247">
                  <c:v>-0.927183854566787</c:v>
                </c:pt>
                <c:pt idx="248">
                  <c:v>-0.933580426497202</c:v>
                </c:pt>
                <c:pt idx="249">
                  <c:v>-0.939692620785908</c:v>
                </c:pt>
                <c:pt idx="250">
                  <c:v>-0.945518575599317</c:v>
                </c:pt>
                <c:pt idx="251">
                  <c:v>-0.951056516295153</c:v>
                </c:pt>
                <c:pt idx="252">
                  <c:v>-0.956304755963035</c:v>
                </c:pt>
                <c:pt idx="253">
                  <c:v>-0.961261695938319</c:v>
                </c:pt>
                <c:pt idx="254">
                  <c:v>-0.965925826289068</c:v>
                </c:pt>
                <c:pt idx="255">
                  <c:v>-0.970295726275996</c:v>
                </c:pt>
                <c:pt idx="256">
                  <c:v>-0.974370064785235</c:v>
                </c:pt>
                <c:pt idx="257">
                  <c:v>-0.978147600733806</c:v>
                </c:pt>
                <c:pt idx="258">
                  <c:v>-0.981627183447664</c:v>
                </c:pt>
                <c:pt idx="259">
                  <c:v>-0.984807753012208</c:v>
                </c:pt>
                <c:pt idx="260">
                  <c:v>-0.987688340595138</c:v>
                </c:pt>
                <c:pt idx="261">
                  <c:v>-0.99026806874157</c:v>
                </c:pt>
                <c:pt idx="262">
                  <c:v>-0.992546151641322</c:v>
                </c:pt>
                <c:pt idx="263">
                  <c:v>-0.994521895368273</c:v>
                </c:pt>
                <c:pt idx="264">
                  <c:v>-0.996194698091746</c:v>
                </c:pt>
                <c:pt idx="265">
                  <c:v>-0.997564050259824</c:v>
                </c:pt>
                <c:pt idx="266">
                  <c:v>-0.998629534754574</c:v>
                </c:pt>
                <c:pt idx="267">
                  <c:v>-0.999390827019096</c:v>
                </c:pt>
                <c:pt idx="268">
                  <c:v>-0.999847695156391</c:v>
                </c:pt>
                <c:pt idx="269">
                  <c:v>-1</c:v>
                </c:pt>
                <c:pt idx="270">
                  <c:v>-0.999847695156391</c:v>
                </c:pt>
                <c:pt idx="271">
                  <c:v>-0.999390827019096</c:v>
                </c:pt>
                <c:pt idx="272">
                  <c:v>-0.998629534754574</c:v>
                </c:pt>
                <c:pt idx="273">
                  <c:v>-0.997564050259824</c:v>
                </c:pt>
                <c:pt idx="274">
                  <c:v>-0.996194698091746</c:v>
                </c:pt>
                <c:pt idx="275">
                  <c:v>-0.994521895368273</c:v>
                </c:pt>
                <c:pt idx="276">
                  <c:v>-0.992546151641322</c:v>
                </c:pt>
                <c:pt idx="277">
                  <c:v>-0.99026806874157</c:v>
                </c:pt>
                <c:pt idx="278">
                  <c:v>-0.987688340595138</c:v>
                </c:pt>
                <c:pt idx="279">
                  <c:v>-0.984807753012208</c:v>
                </c:pt>
                <c:pt idx="280">
                  <c:v>-0.981627183447664</c:v>
                </c:pt>
                <c:pt idx="281">
                  <c:v>-0.978147600733806</c:v>
                </c:pt>
                <c:pt idx="282">
                  <c:v>-0.974370064785235</c:v>
                </c:pt>
                <c:pt idx="283">
                  <c:v>-0.970295726275996</c:v>
                </c:pt>
                <c:pt idx="284">
                  <c:v>-0.965925826289068</c:v>
                </c:pt>
                <c:pt idx="285">
                  <c:v>-0.961261695938319</c:v>
                </c:pt>
                <c:pt idx="286">
                  <c:v>-0.956304755963035</c:v>
                </c:pt>
                <c:pt idx="287">
                  <c:v>-0.951056516295154</c:v>
                </c:pt>
                <c:pt idx="288">
                  <c:v>-0.945518575599317</c:v>
                </c:pt>
                <c:pt idx="289">
                  <c:v>-0.939692620785908</c:v>
                </c:pt>
                <c:pt idx="290">
                  <c:v>-0.933580426497202</c:v>
                </c:pt>
                <c:pt idx="291">
                  <c:v>-0.927183854566787</c:v>
                </c:pt>
                <c:pt idx="292">
                  <c:v>-0.920504853452441</c:v>
                </c:pt>
                <c:pt idx="293">
                  <c:v>-0.913545457642601</c:v>
                </c:pt>
                <c:pt idx="294">
                  <c:v>-0.90630778703665</c:v>
                </c:pt>
                <c:pt idx="295">
                  <c:v>-0.898794046299167</c:v>
                </c:pt>
                <c:pt idx="296">
                  <c:v>-0.891006524188368</c:v>
                </c:pt>
                <c:pt idx="297">
                  <c:v>-0.882947592858927</c:v>
                </c:pt>
                <c:pt idx="298">
                  <c:v>-0.874619707139396</c:v>
                </c:pt>
                <c:pt idx="299">
                  <c:v>-0.866025403784439</c:v>
                </c:pt>
                <c:pt idx="300">
                  <c:v>-0.857167300702112</c:v>
                </c:pt>
                <c:pt idx="301">
                  <c:v>-0.848048096156426</c:v>
                </c:pt>
                <c:pt idx="302">
                  <c:v>-0.838670567945424</c:v>
                </c:pt>
                <c:pt idx="303">
                  <c:v>-0.829037572555042</c:v>
                </c:pt>
                <c:pt idx="304">
                  <c:v>-0.819152044288992</c:v>
                </c:pt>
                <c:pt idx="305">
                  <c:v>-0.809016994374947</c:v>
                </c:pt>
                <c:pt idx="306">
                  <c:v>-0.798635510047293</c:v>
                </c:pt>
                <c:pt idx="307">
                  <c:v>-0.788010753606722</c:v>
                </c:pt>
                <c:pt idx="308">
                  <c:v>-0.777145961456971</c:v>
                </c:pt>
                <c:pt idx="309">
                  <c:v>-0.766044443118978</c:v>
                </c:pt>
                <c:pt idx="310">
                  <c:v>-0.754709580222772</c:v>
                </c:pt>
                <c:pt idx="311">
                  <c:v>-0.743144825477395</c:v>
                </c:pt>
                <c:pt idx="312">
                  <c:v>-0.73135370161917</c:v>
                </c:pt>
                <c:pt idx="313">
                  <c:v>-0.719339800338651</c:v>
                </c:pt>
                <c:pt idx="314">
                  <c:v>-0.707106781186548</c:v>
                </c:pt>
                <c:pt idx="315">
                  <c:v>-0.694658370458998</c:v>
                </c:pt>
                <c:pt idx="316">
                  <c:v>-0.681998360062498</c:v>
                </c:pt>
                <c:pt idx="317">
                  <c:v>-0.669130606358858</c:v>
                </c:pt>
                <c:pt idx="318">
                  <c:v>-0.656059028990507</c:v>
                </c:pt>
                <c:pt idx="319">
                  <c:v>-0.64278760968654</c:v>
                </c:pt>
                <c:pt idx="320">
                  <c:v>-0.629320391049838</c:v>
                </c:pt>
                <c:pt idx="321">
                  <c:v>-0.615661475325658</c:v>
                </c:pt>
                <c:pt idx="322">
                  <c:v>-0.601815023152048</c:v>
                </c:pt>
                <c:pt idx="323">
                  <c:v>-0.587785252292473</c:v>
                </c:pt>
                <c:pt idx="324">
                  <c:v>-0.573576436351047</c:v>
                </c:pt>
                <c:pt idx="325">
                  <c:v>-0.559192903470747</c:v>
                </c:pt>
                <c:pt idx="326">
                  <c:v>-0.544639035015027</c:v>
                </c:pt>
                <c:pt idx="327">
                  <c:v>-0.529919264233205</c:v>
                </c:pt>
                <c:pt idx="328">
                  <c:v>-0.515038074910054</c:v>
                </c:pt>
                <c:pt idx="329">
                  <c:v>-0.5</c:v>
                </c:pt>
                <c:pt idx="330">
                  <c:v>-0.484809620246337</c:v>
                </c:pt>
                <c:pt idx="331">
                  <c:v>-0.469471562785891</c:v>
                </c:pt>
                <c:pt idx="332">
                  <c:v>-0.453990499739547</c:v>
                </c:pt>
                <c:pt idx="333">
                  <c:v>-0.438371146789078</c:v>
                </c:pt>
                <c:pt idx="334">
                  <c:v>-0.422618261740699</c:v>
                </c:pt>
                <c:pt idx="335">
                  <c:v>-0.4067366430758</c:v>
                </c:pt>
                <c:pt idx="336">
                  <c:v>-0.390731128489274</c:v>
                </c:pt>
                <c:pt idx="337">
                  <c:v>-0.374606593415912</c:v>
                </c:pt>
                <c:pt idx="338">
                  <c:v>-0.358367949545301</c:v>
                </c:pt>
                <c:pt idx="339">
                  <c:v>-0.342020143325669</c:v>
                </c:pt>
                <c:pt idx="340">
                  <c:v>-0.325568154457157</c:v>
                </c:pt>
                <c:pt idx="341">
                  <c:v>-0.309016994374948</c:v>
                </c:pt>
                <c:pt idx="342">
                  <c:v>-0.292371704722737</c:v>
                </c:pt>
                <c:pt idx="343">
                  <c:v>-0.275637355816999</c:v>
                </c:pt>
                <c:pt idx="344">
                  <c:v>-0.258819045102521</c:v>
                </c:pt>
                <c:pt idx="345">
                  <c:v>-0.241921895599668</c:v>
                </c:pt>
                <c:pt idx="346">
                  <c:v>-0.224951054343865</c:v>
                </c:pt>
                <c:pt idx="347">
                  <c:v>-0.20791169081776</c:v>
                </c:pt>
                <c:pt idx="348">
                  <c:v>-0.190808995376545</c:v>
                </c:pt>
                <c:pt idx="349">
                  <c:v>-0.17364817766693</c:v>
                </c:pt>
                <c:pt idx="350">
                  <c:v>-0.156434465040231</c:v>
                </c:pt>
                <c:pt idx="351">
                  <c:v>-0.139173100960066</c:v>
                </c:pt>
                <c:pt idx="352">
                  <c:v>-0.121869343405147</c:v>
                </c:pt>
                <c:pt idx="353">
                  <c:v>-0.104528463267653</c:v>
                </c:pt>
                <c:pt idx="354">
                  <c:v>-0.0871557427476583</c:v>
                </c:pt>
                <c:pt idx="355">
                  <c:v>-0.0697564737441256</c:v>
                </c:pt>
                <c:pt idx="356">
                  <c:v>-0.0523359562429444</c:v>
                </c:pt>
                <c:pt idx="357">
                  <c:v>-0.0348994967025008</c:v>
                </c:pt>
                <c:pt idx="358">
                  <c:v>-0.0174524064372836</c:v>
                </c:pt>
                <c:pt idx="359">
                  <c:v>-2.45029690981724E-016</c:v>
                </c:pt>
              </c:numCache>
            </c:numRef>
          </c:yVal>
          <c:smooth val="0"/>
        </c:ser>
        <c:axId val="41374259"/>
        <c:axId val="41132919"/>
      </c:scatterChart>
      <c:valAx>
        <c:axId val="41374259"/>
        <c:scaling>
          <c:orientation val="minMax"/>
          <c:max val="6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1132919"/>
        <c:crosses val="autoZero"/>
        <c:crossBetween val="midCat"/>
      </c:valAx>
      <c:valAx>
        <c:axId val="41132919"/>
        <c:scaling>
          <c:orientation val="minMax"/>
          <c:max val="1"/>
          <c:min val="-1"/>
        </c:scaling>
        <c:delete val="1"/>
        <c:axPos val="l"/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1374259"/>
        <c:crosses val="autoZero"/>
        <c:crossBetween val="midCat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Sheet1!$B$4:$B$42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48</c:v>
                </c:pt>
                <c:pt idx="6">
                  <c:v>48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47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47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49516049"/>
        <c:axId val="30230379"/>
      </c:lineChart>
      <c:catAx>
        <c:axId val="4951604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0230379"/>
        <c:crosses val="autoZero"/>
        <c:auto val="1"/>
        <c:lblAlgn val="ctr"/>
        <c:lblOffset val="100"/>
      </c:catAx>
      <c:valAx>
        <c:axId val="30230379"/>
        <c:scaling>
          <c:orientation val="minMax"/>
          <c:max val="50"/>
          <c:min val="45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400" spc="-1" strike="noStrike">
                    <a:solidFill>
                      <a:srgbClr val="595959"/>
                    </a:solidFill>
                    <a:uFill>
                      <a:solidFill>
                        <a:srgbClr val="ffffff"/>
                      </a:solidFill>
                    </a:uFill>
                    <a:latin typeface="Calibri"/>
                  </a:defRPr>
                </a:pPr>
                <a:r>
                  <a:rPr b="0" sz="1400" spc="-1" strike="noStrike">
                    <a:solidFill>
                      <a:srgbClr val="595959"/>
                    </a:solidFill>
                    <a:uFill>
                      <a:solidFill>
                        <a:srgbClr val="ffffff"/>
                      </a:solidFill>
                    </a:uFill>
                    <a:latin typeface="Calibri"/>
                  </a:rPr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0.0158439975624619"/>
              <c:y val="0.21829412537784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13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9516049"/>
        <c:crosses val="autoZero"/>
        <c:crossBetween val="midCat"/>
        <c:majorUnit val="1"/>
        <c:minorUnit val="0.2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25069236734242"/>
          <c:y val="0.0379909851899549"/>
          <c:w val="0.847180680181677"/>
          <c:h val="0.936681691350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solidFill>
              <a:srgbClr val="ed7d31"/>
            </a:solidFill>
            <a:ln w="144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Sheet1!$B$93:$B$452</c:f>
              <c:numCache>
                <c:formatCode>General</c:formatCode>
                <c:ptCount val="360"/>
                <c:pt idx="0">
                  <c:v>0.0174532925199433</c:v>
                </c:pt>
                <c:pt idx="1">
                  <c:v>0.0349065850398866</c:v>
                </c:pt>
                <c:pt idx="2">
                  <c:v>0.0523598775598299</c:v>
                </c:pt>
                <c:pt idx="3">
                  <c:v>0.0698131700797732</c:v>
                </c:pt>
                <c:pt idx="4">
                  <c:v>0.0872664625997165</c:v>
                </c:pt>
                <c:pt idx="5">
                  <c:v>0.10471975511966</c:v>
                </c:pt>
                <c:pt idx="6">
                  <c:v>0.122173047639603</c:v>
                </c:pt>
                <c:pt idx="7">
                  <c:v>0.139626340159546</c:v>
                </c:pt>
                <c:pt idx="8">
                  <c:v>0.15707963267949</c:v>
                </c:pt>
                <c:pt idx="9">
                  <c:v>0.174532925199433</c:v>
                </c:pt>
                <c:pt idx="10">
                  <c:v>0.191986217719376</c:v>
                </c:pt>
                <c:pt idx="11">
                  <c:v>0.20943951023932</c:v>
                </c:pt>
                <c:pt idx="12">
                  <c:v>0.226892802759263</c:v>
                </c:pt>
                <c:pt idx="13">
                  <c:v>0.244346095279206</c:v>
                </c:pt>
                <c:pt idx="14">
                  <c:v>0.261799387799149</c:v>
                </c:pt>
                <c:pt idx="15">
                  <c:v>0.279252680319093</c:v>
                </c:pt>
                <c:pt idx="16">
                  <c:v>0.296705972839036</c:v>
                </c:pt>
                <c:pt idx="17">
                  <c:v>0.314159265358979</c:v>
                </c:pt>
                <c:pt idx="18">
                  <c:v>0.331612557878923</c:v>
                </c:pt>
                <c:pt idx="19">
                  <c:v>0.349065850398866</c:v>
                </c:pt>
                <c:pt idx="20">
                  <c:v>0.366519142918809</c:v>
                </c:pt>
                <c:pt idx="21">
                  <c:v>0.383972435438752</c:v>
                </c:pt>
                <c:pt idx="22">
                  <c:v>0.401425727958696</c:v>
                </c:pt>
                <c:pt idx="23">
                  <c:v>0.418879020478639</c:v>
                </c:pt>
                <c:pt idx="24">
                  <c:v>0.436332312998582</c:v>
                </c:pt>
                <c:pt idx="25">
                  <c:v>0.453785605518526</c:v>
                </c:pt>
                <c:pt idx="26">
                  <c:v>0.471238898038469</c:v>
                </c:pt>
                <c:pt idx="27">
                  <c:v>0.488692190558412</c:v>
                </c:pt>
                <c:pt idx="28">
                  <c:v>0.506145483078356</c:v>
                </c:pt>
                <c:pt idx="29">
                  <c:v>0.523598775598299</c:v>
                </c:pt>
                <c:pt idx="30">
                  <c:v>0.541052068118242</c:v>
                </c:pt>
                <c:pt idx="31">
                  <c:v>0.558505360638186</c:v>
                </c:pt>
                <c:pt idx="32">
                  <c:v>0.575958653158129</c:v>
                </c:pt>
                <c:pt idx="33">
                  <c:v>0.593411945678072</c:v>
                </c:pt>
                <c:pt idx="34">
                  <c:v>0.610865238198015</c:v>
                </c:pt>
                <c:pt idx="35">
                  <c:v>0.628318530717959</c:v>
                </c:pt>
                <c:pt idx="36">
                  <c:v>0.645771823237902</c:v>
                </c:pt>
                <c:pt idx="37">
                  <c:v>0.663225115757845</c:v>
                </c:pt>
                <c:pt idx="38">
                  <c:v>0.680678408277789</c:v>
                </c:pt>
                <c:pt idx="39">
                  <c:v>0.698131700797732</c:v>
                </c:pt>
                <c:pt idx="40">
                  <c:v>0.715584993317675</c:v>
                </c:pt>
                <c:pt idx="41">
                  <c:v>0.733038285837618</c:v>
                </c:pt>
                <c:pt idx="42">
                  <c:v>0.750491578357562</c:v>
                </c:pt>
                <c:pt idx="43">
                  <c:v>0.767944870877505</c:v>
                </c:pt>
                <c:pt idx="44">
                  <c:v>0.785398163397448</c:v>
                </c:pt>
                <c:pt idx="45">
                  <c:v>0.802851455917392</c:v>
                </c:pt>
                <c:pt idx="46">
                  <c:v>0.820304748437335</c:v>
                </c:pt>
                <c:pt idx="47">
                  <c:v>0.837758040957278</c:v>
                </c:pt>
                <c:pt idx="48">
                  <c:v>0.855211333477221</c:v>
                </c:pt>
                <c:pt idx="49">
                  <c:v>0.872664625997165</c:v>
                </c:pt>
                <c:pt idx="50">
                  <c:v>0.890117918517108</c:v>
                </c:pt>
                <c:pt idx="51">
                  <c:v>0.907571211037051</c:v>
                </c:pt>
                <c:pt idx="52">
                  <c:v>0.925024503556995</c:v>
                </c:pt>
                <c:pt idx="53">
                  <c:v>0.942477796076938</c:v>
                </c:pt>
                <c:pt idx="54">
                  <c:v>0.959931088596881</c:v>
                </c:pt>
                <c:pt idx="55">
                  <c:v>0.977384381116824</c:v>
                </c:pt>
                <c:pt idx="56">
                  <c:v>0.994837673636768</c:v>
                </c:pt>
                <c:pt idx="57">
                  <c:v>1.01229096615671</c:v>
                </c:pt>
                <c:pt idx="58">
                  <c:v>1.02974425867665</c:v>
                </c:pt>
                <c:pt idx="59">
                  <c:v>1.0471975511966</c:v>
                </c:pt>
                <c:pt idx="60">
                  <c:v>1.06465084371654</c:v>
                </c:pt>
                <c:pt idx="61">
                  <c:v>1.08210413623648</c:v>
                </c:pt>
                <c:pt idx="62">
                  <c:v>1.09955742875643</c:v>
                </c:pt>
                <c:pt idx="63">
                  <c:v>1.11701072127637</c:v>
                </c:pt>
                <c:pt idx="64">
                  <c:v>1.13446401379631</c:v>
                </c:pt>
                <c:pt idx="65">
                  <c:v>1.15191730631626</c:v>
                </c:pt>
                <c:pt idx="66">
                  <c:v>1.1693705988362</c:v>
                </c:pt>
                <c:pt idx="67">
                  <c:v>1.18682389135614</c:v>
                </c:pt>
                <c:pt idx="68">
                  <c:v>1.20427718387609</c:v>
                </c:pt>
                <c:pt idx="69">
                  <c:v>1.22173047639603</c:v>
                </c:pt>
                <c:pt idx="70">
                  <c:v>1.23918376891597</c:v>
                </c:pt>
                <c:pt idx="71">
                  <c:v>1.25663706143592</c:v>
                </c:pt>
                <c:pt idx="72">
                  <c:v>1.27409035395586</c:v>
                </c:pt>
                <c:pt idx="73">
                  <c:v>1.2915436464758</c:v>
                </c:pt>
                <c:pt idx="74">
                  <c:v>1.30899693899575</c:v>
                </c:pt>
                <c:pt idx="75">
                  <c:v>1.32645023151569</c:v>
                </c:pt>
                <c:pt idx="76">
                  <c:v>1.34390352403563</c:v>
                </c:pt>
                <c:pt idx="77">
                  <c:v>1.36135681655558</c:v>
                </c:pt>
                <c:pt idx="78">
                  <c:v>1.37881010907552</c:v>
                </c:pt>
                <c:pt idx="79">
                  <c:v>1.39626340159546</c:v>
                </c:pt>
                <c:pt idx="80">
                  <c:v>1.41371669411541</c:v>
                </c:pt>
                <c:pt idx="81">
                  <c:v>1.43116998663535</c:v>
                </c:pt>
                <c:pt idx="82">
                  <c:v>1.44862327915529</c:v>
                </c:pt>
                <c:pt idx="83">
                  <c:v>1.46607657167524</c:v>
                </c:pt>
                <c:pt idx="84">
                  <c:v>1.48352986419518</c:v>
                </c:pt>
                <c:pt idx="85">
                  <c:v>1.50098315671512</c:v>
                </c:pt>
                <c:pt idx="86">
                  <c:v>1.51843644923507</c:v>
                </c:pt>
                <c:pt idx="87">
                  <c:v>1.53588974175501</c:v>
                </c:pt>
                <c:pt idx="88">
                  <c:v>1.55334303427495</c:v>
                </c:pt>
                <c:pt idx="89">
                  <c:v>1.5707963267949</c:v>
                </c:pt>
                <c:pt idx="90">
                  <c:v>1.58824961931484</c:v>
                </c:pt>
                <c:pt idx="91">
                  <c:v>1.60570291183478</c:v>
                </c:pt>
                <c:pt idx="92">
                  <c:v>1.62315620435473</c:v>
                </c:pt>
                <c:pt idx="93">
                  <c:v>1.64060949687467</c:v>
                </c:pt>
                <c:pt idx="94">
                  <c:v>1.65806278939461</c:v>
                </c:pt>
                <c:pt idx="95">
                  <c:v>1.67551608191456</c:v>
                </c:pt>
                <c:pt idx="96">
                  <c:v>1.6929693744345</c:v>
                </c:pt>
                <c:pt idx="97">
                  <c:v>1.71042266695444</c:v>
                </c:pt>
                <c:pt idx="98">
                  <c:v>1.72787595947439</c:v>
                </c:pt>
                <c:pt idx="99">
                  <c:v>1.74532925199433</c:v>
                </c:pt>
                <c:pt idx="100">
                  <c:v>1.76278254451427</c:v>
                </c:pt>
                <c:pt idx="101">
                  <c:v>1.78023583703422</c:v>
                </c:pt>
                <c:pt idx="102">
                  <c:v>1.79768912955416</c:v>
                </c:pt>
                <c:pt idx="103">
                  <c:v>1.8151424220741</c:v>
                </c:pt>
                <c:pt idx="104">
                  <c:v>1.83259571459405</c:v>
                </c:pt>
                <c:pt idx="105">
                  <c:v>1.85004900711399</c:v>
                </c:pt>
                <c:pt idx="106">
                  <c:v>1.86750229963393</c:v>
                </c:pt>
                <c:pt idx="107">
                  <c:v>1.88495559215388</c:v>
                </c:pt>
                <c:pt idx="108">
                  <c:v>1.90240888467382</c:v>
                </c:pt>
                <c:pt idx="109">
                  <c:v>1.91986217719376</c:v>
                </c:pt>
                <c:pt idx="110">
                  <c:v>1.93731546971371</c:v>
                </c:pt>
                <c:pt idx="111">
                  <c:v>1.95476876223365</c:v>
                </c:pt>
                <c:pt idx="112">
                  <c:v>1.97222205475359</c:v>
                </c:pt>
                <c:pt idx="113">
                  <c:v>1.98967534727354</c:v>
                </c:pt>
                <c:pt idx="114">
                  <c:v>2.00712863979348</c:v>
                </c:pt>
                <c:pt idx="115">
                  <c:v>2.02458193231342</c:v>
                </c:pt>
                <c:pt idx="116">
                  <c:v>2.04203522483337</c:v>
                </c:pt>
                <c:pt idx="117">
                  <c:v>2.05948851735331</c:v>
                </c:pt>
                <c:pt idx="118">
                  <c:v>2.07694180987325</c:v>
                </c:pt>
                <c:pt idx="119">
                  <c:v>2.0943951023932</c:v>
                </c:pt>
                <c:pt idx="120">
                  <c:v>2.11184839491314</c:v>
                </c:pt>
                <c:pt idx="121">
                  <c:v>2.12930168743308</c:v>
                </c:pt>
                <c:pt idx="122">
                  <c:v>2.14675497995303</c:v>
                </c:pt>
                <c:pt idx="123">
                  <c:v>2.16420827247297</c:v>
                </c:pt>
                <c:pt idx="124">
                  <c:v>2.18166156499291</c:v>
                </c:pt>
                <c:pt idx="125">
                  <c:v>2.19911485751286</c:v>
                </c:pt>
                <c:pt idx="126">
                  <c:v>2.2165681500328</c:v>
                </c:pt>
                <c:pt idx="127">
                  <c:v>2.23402144255274</c:v>
                </c:pt>
                <c:pt idx="128">
                  <c:v>2.25147473507268</c:v>
                </c:pt>
                <c:pt idx="129">
                  <c:v>2.26892802759263</c:v>
                </c:pt>
                <c:pt idx="130">
                  <c:v>2.28638132011257</c:v>
                </c:pt>
                <c:pt idx="131">
                  <c:v>2.30383461263251</c:v>
                </c:pt>
                <c:pt idx="132">
                  <c:v>2.32128790515246</c:v>
                </c:pt>
                <c:pt idx="133">
                  <c:v>2.3387411976724</c:v>
                </c:pt>
                <c:pt idx="134">
                  <c:v>2.35619449019234</c:v>
                </c:pt>
                <c:pt idx="135">
                  <c:v>2.37364778271229</c:v>
                </c:pt>
                <c:pt idx="136">
                  <c:v>2.39110107523223</c:v>
                </c:pt>
                <c:pt idx="137">
                  <c:v>2.40855436775217</c:v>
                </c:pt>
                <c:pt idx="138">
                  <c:v>2.42600766027212</c:v>
                </c:pt>
                <c:pt idx="139">
                  <c:v>2.44346095279206</c:v>
                </c:pt>
                <c:pt idx="140">
                  <c:v>2.460914245312</c:v>
                </c:pt>
                <c:pt idx="141">
                  <c:v>2.47836753783195</c:v>
                </c:pt>
                <c:pt idx="142">
                  <c:v>2.49582083035189</c:v>
                </c:pt>
                <c:pt idx="143">
                  <c:v>2.51327412287183</c:v>
                </c:pt>
                <c:pt idx="144">
                  <c:v>2.53072741539178</c:v>
                </c:pt>
                <c:pt idx="145">
                  <c:v>2.54818070791172</c:v>
                </c:pt>
                <c:pt idx="146">
                  <c:v>2.56563400043166</c:v>
                </c:pt>
                <c:pt idx="147">
                  <c:v>2.58308729295161</c:v>
                </c:pt>
                <c:pt idx="148">
                  <c:v>2.60054058547155</c:v>
                </c:pt>
                <c:pt idx="149">
                  <c:v>2.61799387799149</c:v>
                </c:pt>
                <c:pt idx="150">
                  <c:v>2.63544717051144</c:v>
                </c:pt>
                <c:pt idx="151">
                  <c:v>2.65290046303138</c:v>
                </c:pt>
                <c:pt idx="152">
                  <c:v>2.67035375555132</c:v>
                </c:pt>
                <c:pt idx="153">
                  <c:v>2.68780704807127</c:v>
                </c:pt>
                <c:pt idx="154">
                  <c:v>2.70526034059121</c:v>
                </c:pt>
                <c:pt idx="155">
                  <c:v>2.72271363311115</c:v>
                </c:pt>
                <c:pt idx="156">
                  <c:v>2.7401669256311</c:v>
                </c:pt>
                <c:pt idx="157">
                  <c:v>2.75762021815104</c:v>
                </c:pt>
                <c:pt idx="158">
                  <c:v>2.77507351067098</c:v>
                </c:pt>
                <c:pt idx="159">
                  <c:v>2.79252680319093</c:v>
                </c:pt>
                <c:pt idx="160">
                  <c:v>2.80998009571087</c:v>
                </c:pt>
                <c:pt idx="161">
                  <c:v>2.82743338823081</c:v>
                </c:pt>
                <c:pt idx="162">
                  <c:v>2.84488668075076</c:v>
                </c:pt>
                <c:pt idx="163">
                  <c:v>2.8623399732707</c:v>
                </c:pt>
                <c:pt idx="164">
                  <c:v>2.87979326579064</c:v>
                </c:pt>
                <c:pt idx="165">
                  <c:v>2.89724655831059</c:v>
                </c:pt>
                <c:pt idx="166">
                  <c:v>2.91469985083053</c:v>
                </c:pt>
                <c:pt idx="167">
                  <c:v>2.93215314335047</c:v>
                </c:pt>
                <c:pt idx="168">
                  <c:v>2.94960643587042</c:v>
                </c:pt>
                <c:pt idx="169">
                  <c:v>2.96705972839036</c:v>
                </c:pt>
                <c:pt idx="170">
                  <c:v>2.9845130209103</c:v>
                </c:pt>
                <c:pt idx="171">
                  <c:v>3.00196631343025</c:v>
                </c:pt>
                <c:pt idx="172">
                  <c:v>3.01941960595019</c:v>
                </c:pt>
                <c:pt idx="173">
                  <c:v>3.03687289847013</c:v>
                </c:pt>
                <c:pt idx="174">
                  <c:v>3.05432619099008</c:v>
                </c:pt>
                <c:pt idx="175">
                  <c:v>3.07177948351002</c:v>
                </c:pt>
                <c:pt idx="176">
                  <c:v>3.08923277602996</c:v>
                </c:pt>
                <c:pt idx="177">
                  <c:v>3.10668606854991</c:v>
                </c:pt>
                <c:pt idx="178">
                  <c:v>3.12413936106985</c:v>
                </c:pt>
                <c:pt idx="179">
                  <c:v>3.14159265358979</c:v>
                </c:pt>
                <c:pt idx="180">
                  <c:v>3.15904594610974</c:v>
                </c:pt>
                <c:pt idx="181">
                  <c:v>3.17649923862968</c:v>
                </c:pt>
                <c:pt idx="182">
                  <c:v>3.19395253114962</c:v>
                </c:pt>
                <c:pt idx="183">
                  <c:v>3.21140582366957</c:v>
                </c:pt>
                <c:pt idx="184">
                  <c:v>3.22885911618951</c:v>
                </c:pt>
                <c:pt idx="185">
                  <c:v>3.24631240870945</c:v>
                </c:pt>
                <c:pt idx="186">
                  <c:v>3.2637657012294</c:v>
                </c:pt>
                <c:pt idx="187">
                  <c:v>3.28121899374934</c:v>
                </c:pt>
                <c:pt idx="188">
                  <c:v>3.29867228626928</c:v>
                </c:pt>
                <c:pt idx="189">
                  <c:v>3.31612557878923</c:v>
                </c:pt>
                <c:pt idx="190">
                  <c:v>3.33357887130917</c:v>
                </c:pt>
                <c:pt idx="191">
                  <c:v>3.35103216382911</c:v>
                </c:pt>
                <c:pt idx="192">
                  <c:v>3.36848545634906</c:v>
                </c:pt>
                <c:pt idx="193">
                  <c:v>3.385938748869</c:v>
                </c:pt>
                <c:pt idx="194">
                  <c:v>3.40339204138894</c:v>
                </c:pt>
                <c:pt idx="195">
                  <c:v>3.42084533390889</c:v>
                </c:pt>
                <c:pt idx="196">
                  <c:v>3.43829862642883</c:v>
                </c:pt>
                <c:pt idx="197">
                  <c:v>3.45575191894877</c:v>
                </c:pt>
                <c:pt idx="198">
                  <c:v>3.47320521146872</c:v>
                </c:pt>
                <c:pt idx="199">
                  <c:v>3.49065850398866</c:v>
                </c:pt>
                <c:pt idx="200">
                  <c:v>3.5081117965086</c:v>
                </c:pt>
                <c:pt idx="201">
                  <c:v>3.52556508902855</c:v>
                </c:pt>
                <c:pt idx="202">
                  <c:v>3.54301838154849</c:v>
                </c:pt>
                <c:pt idx="203">
                  <c:v>3.56047167406843</c:v>
                </c:pt>
                <c:pt idx="204">
                  <c:v>3.57792496658838</c:v>
                </c:pt>
                <c:pt idx="205">
                  <c:v>3.59537825910832</c:v>
                </c:pt>
                <c:pt idx="206">
                  <c:v>3.61283155162826</c:v>
                </c:pt>
                <c:pt idx="207">
                  <c:v>3.63028484414821</c:v>
                </c:pt>
                <c:pt idx="208">
                  <c:v>3.64773813666815</c:v>
                </c:pt>
                <c:pt idx="209">
                  <c:v>3.66519142918809</c:v>
                </c:pt>
                <c:pt idx="210">
                  <c:v>3.68264472170804</c:v>
                </c:pt>
                <c:pt idx="211">
                  <c:v>3.70009801422798</c:v>
                </c:pt>
                <c:pt idx="212">
                  <c:v>3.71755130674792</c:v>
                </c:pt>
                <c:pt idx="213">
                  <c:v>3.73500459926786</c:v>
                </c:pt>
                <c:pt idx="214">
                  <c:v>3.75245789178781</c:v>
                </c:pt>
                <c:pt idx="215">
                  <c:v>3.76991118430775</c:v>
                </c:pt>
                <c:pt idx="216">
                  <c:v>3.7873644768277</c:v>
                </c:pt>
                <c:pt idx="217">
                  <c:v>3.80481776934764</c:v>
                </c:pt>
                <c:pt idx="218">
                  <c:v>3.82227106186758</c:v>
                </c:pt>
                <c:pt idx="219">
                  <c:v>3.83972435438752</c:v>
                </c:pt>
                <c:pt idx="220">
                  <c:v>3.85717764690747</c:v>
                </c:pt>
                <c:pt idx="221">
                  <c:v>3.87463093942741</c:v>
                </c:pt>
                <c:pt idx="222">
                  <c:v>3.89208423194735</c:v>
                </c:pt>
                <c:pt idx="223">
                  <c:v>3.9095375244673</c:v>
                </c:pt>
                <c:pt idx="224">
                  <c:v>3.92699081698724</c:v>
                </c:pt>
                <c:pt idx="225">
                  <c:v>3.94444410950718</c:v>
                </c:pt>
                <c:pt idx="226">
                  <c:v>3.96189740202713</c:v>
                </c:pt>
                <c:pt idx="227">
                  <c:v>3.97935069454707</c:v>
                </c:pt>
                <c:pt idx="228">
                  <c:v>3.99680398706701</c:v>
                </c:pt>
                <c:pt idx="229">
                  <c:v>4.01425727958696</c:v>
                </c:pt>
                <c:pt idx="230">
                  <c:v>4.0317105721069</c:v>
                </c:pt>
                <c:pt idx="231">
                  <c:v>4.04916386462685</c:v>
                </c:pt>
                <c:pt idx="232">
                  <c:v>4.06661715714679</c:v>
                </c:pt>
                <c:pt idx="233">
                  <c:v>4.08407044966673</c:v>
                </c:pt>
                <c:pt idx="234">
                  <c:v>4.10152374218667</c:v>
                </c:pt>
                <c:pt idx="235">
                  <c:v>4.11897703470662</c:v>
                </c:pt>
                <c:pt idx="236">
                  <c:v>4.13643032722656</c:v>
                </c:pt>
                <c:pt idx="237">
                  <c:v>4.1538836197465</c:v>
                </c:pt>
                <c:pt idx="238">
                  <c:v>4.17133691226645</c:v>
                </c:pt>
                <c:pt idx="239">
                  <c:v>4.18879020478639</c:v>
                </c:pt>
                <c:pt idx="240">
                  <c:v>4.20624349730633</c:v>
                </c:pt>
                <c:pt idx="241">
                  <c:v>4.22369678982628</c:v>
                </c:pt>
                <c:pt idx="242">
                  <c:v>4.24115008234622</c:v>
                </c:pt>
                <c:pt idx="243">
                  <c:v>4.25860337486616</c:v>
                </c:pt>
                <c:pt idx="244">
                  <c:v>4.27605666738611</c:v>
                </c:pt>
                <c:pt idx="245">
                  <c:v>4.29350995990605</c:v>
                </c:pt>
                <c:pt idx="246">
                  <c:v>4.31096325242599</c:v>
                </c:pt>
                <c:pt idx="247">
                  <c:v>4.32841654494594</c:v>
                </c:pt>
                <c:pt idx="248">
                  <c:v>4.34586983746588</c:v>
                </c:pt>
                <c:pt idx="249">
                  <c:v>4.36332312998582</c:v>
                </c:pt>
                <c:pt idx="250">
                  <c:v>4.38077642250577</c:v>
                </c:pt>
                <c:pt idx="251">
                  <c:v>4.39822971502571</c:v>
                </c:pt>
                <c:pt idx="252">
                  <c:v>4.41568300754565</c:v>
                </c:pt>
                <c:pt idx="253">
                  <c:v>4.4331363000656</c:v>
                </c:pt>
                <c:pt idx="254">
                  <c:v>4.45058959258554</c:v>
                </c:pt>
                <c:pt idx="255">
                  <c:v>4.46804288510548</c:v>
                </c:pt>
                <c:pt idx="256">
                  <c:v>4.48549617762543</c:v>
                </c:pt>
                <c:pt idx="257">
                  <c:v>4.50294947014537</c:v>
                </c:pt>
                <c:pt idx="258">
                  <c:v>4.52040276266531</c:v>
                </c:pt>
                <c:pt idx="259">
                  <c:v>4.53785605518526</c:v>
                </c:pt>
                <c:pt idx="260">
                  <c:v>4.5553093477052</c:v>
                </c:pt>
                <c:pt idx="261">
                  <c:v>4.57276264022514</c:v>
                </c:pt>
                <c:pt idx="262">
                  <c:v>4.59021593274509</c:v>
                </c:pt>
                <c:pt idx="263">
                  <c:v>4.60766922526503</c:v>
                </c:pt>
                <c:pt idx="264">
                  <c:v>4.62512251778497</c:v>
                </c:pt>
                <c:pt idx="265">
                  <c:v>4.64257581030492</c:v>
                </c:pt>
                <c:pt idx="266">
                  <c:v>4.66002910282486</c:v>
                </c:pt>
                <c:pt idx="267">
                  <c:v>4.6774823953448</c:v>
                </c:pt>
                <c:pt idx="268">
                  <c:v>4.69493568786475</c:v>
                </c:pt>
                <c:pt idx="269">
                  <c:v>4.71238898038469</c:v>
                </c:pt>
                <c:pt idx="270">
                  <c:v>4.72984227290463</c:v>
                </c:pt>
                <c:pt idx="271">
                  <c:v>4.74729556542458</c:v>
                </c:pt>
                <c:pt idx="272">
                  <c:v>4.76474885794452</c:v>
                </c:pt>
                <c:pt idx="273">
                  <c:v>4.78220215046446</c:v>
                </c:pt>
                <c:pt idx="274">
                  <c:v>4.79965544298441</c:v>
                </c:pt>
                <c:pt idx="275">
                  <c:v>4.81710873550435</c:v>
                </c:pt>
                <c:pt idx="276">
                  <c:v>4.83456202802429</c:v>
                </c:pt>
                <c:pt idx="277">
                  <c:v>4.85201532054424</c:v>
                </c:pt>
                <c:pt idx="278">
                  <c:v>4.86946861306418</c:v>
                </c:pt>
                <c:pt idx="279">
                  <c:v>4.88692190558412</c:v>
                </c:pt>
                <c:pt idx="280">
                  <c:v>4.90437519810407</c:v>
                </c:pt>
                <c:pt idx="281">
                  <c:v>4.92182849062401</c:v>
                </c:pt>
                <c:pt idx="282">
                  <c:v>4.93928178314395</c:v>
                </c:pt>
                <c:pt idx="283">
                  <c:v>4.9567350756639</c:v>
                </c:pt>
                <c:pt idx="284">
                  <c:v>4.97418836818384</c:v>
                </c:pt>
                <c:pt idx="285">
                  <c:v>4.99164166070378</c:v>
                </c:pt>
                <c:pt idx="286">
                  <c:v>5.00909495322373</c:v>
                </c:pt>
                <c:pt idx="287">
                  <c:v>5.02654824574367</c:v>
                </c:pt>
                <c:pt idx="288">
                  <c:v>5.04400153826361</c:v>
                </c:pt>
                <c:pt idx="289">
                  <c:v>5.06145483078356</c:v>
                </c:pt>
                <c:pt idx="290">
                  <c:v>5.0789081233035</c:v>
                </c:pt>
                <c:pt idx="291">
                  <c:v>5.09636141582344</c:v>
                </c:pt>
                <c:pt idx="292">
                  <c:v>5.11381470834339</c:v>
                </c:pt>
                <c:pt idx="293">
                  <c:v>5.13126800086333</c:v>
                </c:pt>
                <c:pt idx="294">
                  <c:v>5.14872129338327</c:v>
                </c:pt>
                <c:pt idx="295">
                  <c:v>5.16617458590322</c:v>
                </c:pt>
                <c:pt idx="296">
                  <c:v>5.18362787842316</c:v>
                </c:pt>
                <c:pt idx="297">
                  <c:v>5.2010811709431</c:v>
                </c:pt>
                <c:pt idx="298">
                  <c:v>5.21853446346305</c:v>
                </c:pt>
                <c:pt idx="299">
                  <c:v>5.23598775598299</c:v>
                </c:pt>
                <c:pt idx="300">
                  <c:v>5.25344104850293</c:v>
                </c:pt>
                <c:pt idx="301">
                  <c:v>5.27089434102288</c:v>
                </c:pt>
                <c:pt idx="302">
                  <c:v>5.28834763354282</c:v>
                </c:pt>
                <c:pt idx="303">
                  <c:v>5.30580092606276</c:v>
                </c:pt>
                <c:pt idx="304">
                  <c:v>5.32325421858271</c:v>
                </c:pt>
                <c:pt idx="305">
                  <c:v>5.34070751110265</c:v>
                </c:pt>
                <c:pt idx="306">
                  <c:v>5.35816080362259</c:v>
                </c:pt>
                <c:pt idx="307">
                  <c:v>5.37561409614254</c:v>
                </c:pt>
                <c:pt idx="308">
                  <c:v>5.39306738866248</c:v>
                </c:pt>
                <c:pt idx="309">
                  <c:v>5.41052068118242</c:v>
                </c:pt>
                <c:pt idx="310">
                  <c:v>5.42797397370237</c:v>
                </c:pt>
                <c:pt idx="311">
                  <c:v>5.44542726622231</c:v>
                </c:pt>
                <c:pt idx="312">
                  <c:v>5.46288055874225</c:v>
                </c:pt>
                <c:pt idx="313">
                  <c:v>5.4803338512622</c:v>
                </c:pt>
                <c:pt idx="314">
                  <c:v>5.49778714378214</c:v>
                </c:pt>
                <c:pt idx="315">
                  <c:v>5.51524043630208</c:v>
                </c:pt>
                <c:pt idx="316">
                  <c:v>5.53269372882203</c:v>
                </c:pt>
                <c:pt idx="317">
                  <c:v>5.55014702134197</c:v>
                </c:pt>
                <c:pt idx="318">
                  <c:v>5.56760031386191</c:v>
                </c:pt>
                <c:pt idx="319">
                  <c:v>5.58505360638185</c:v>
                </c:pt>
                <c:pt idx="320">
                  <c:v>5.6025068989018</c:v>
                </c:pt>
                <c:pt idx="321">
                  <c:v>5.61996019142174</c:v>
                </c:pt>
                <c:pt idx="322">
                  <c:v>5.63741348394168</c:v>
                </c:pt>
                <c:pt idx="323">
                  <c:v>5.65486677646163</c:v>
                </c:pt>
                <c:pt idx="324">
                  <c:v>5.67232006898157</c:v>
                </c:pt>
                <c:pt idx="325">
                  <c:v>5.68977336150152</c:v>
                </c:pt>
                <c:pt idx="326">
                  <c:v>5.70722665402146</c:v>
                </c:pt>
                <c:pt idx="327">
                  <c:v>5.7246799465414</c:v>
                </c:pt>
                <c:pt idx="328">
                  <c:v>5.74213323906134</c:v>
                </c:pt>
                <c:pt idx="329">
                  <c:v>5.75958653158129</c:v>
                </c:pt>
                <c:pt idx="330">
                  <c:v>5.77703982410123</c:v>
                </c:pt>
                <c:pt idx="331">
                  <c:v>5.79449311662117</c:v>
                </c:pt>
                <c:pt idx="332">
                  <c:v>5.81194640914112</c:v>
                </c:pt>
                <c:pt idx="333">
                  <c:v>5.82939970166106</c:v>
                </c:pt>
                <c:pt idx="334">
                  <c:v>5.846852994181</c:v>
                </c:pt>
                <c:pt idx="335">
                  <c:v>5.86430628670095</c:v>
                </c:pt>
                <c:pt idx="336">
                  <c:v>5.88175957922089</c:v>
                </c:pt>
                <c:pt idx="337">
                  <c:v>5.89921287174083</c:v>
                </c:pt>
                <c:pt idx="338">
                  <c:v>5.91666616426078</c:v>
                </c:pt>
                <c:pt idx="339">
                  <c:v>5.93411945678072</c:v>
                </c:pt>
                <c:pt idx="340">
                  <c:v>5.95157274930066</c:v>
                </c:pt>
                <c:pt idx="341">
                  <c:v>5.96902604182061</c:v>
                </c:pt>
                <c:pt idx="342">
                  <c:v>5.98647933434055</c:v>
                </c:pt>
                <c:pt idx="343">
                  <c:v>6.00393262686049</c:v>
                </c:pt>
                <c:pt idx="344">
                  <c:v>6.02138591938044</c:v>
                </c:pt>
                <c:pt idx="345">
                  <c:v>6.03883921190038</c:v>
                </c:pt>
                <c:pt idx="346">
                  <c:v>6.05629250442032</c:v>
                </c:pt>
                <c:pt idx="347">
                  <c:v>6.07374579694027</c:v>
                </c:pt>
                <c:pt idx="348">
                  <c:v>6.09119908946021</c:v>
                </c:pt>
                <c:pt idx="349">
                  <c:v>6.10865238198015</c:v>
                </c:pt>
                <c:pt idx="350">
                  <c:v>6.1261056745001</c:v>
                </c:pt>
                <c:pt idx="351">
                  <c:v>6.14355896702004</c:v>
                </c:pt>
                <c:pt idx="352">
                  <c:v>6.16101225953998</c:v>
                </c:pt>
                <c:pt idx="353">
                  <c:v>6.17846555205993</c:v>
                </c:pt>
                <c:pt idx="354">
                  <c:v>6.19591884457987</c:v>
                </c:pt>
                <c:pt idx="355">
                  <c:v>6.21337213709981</c:v>
                </c:pt>
                <c:pt idx="356">
                  <c:v>6.23082542961976</c:v>
                </c:pt>
                <c:pt idx="357">
                  <c:v>6.2482787221397</c:v>
                </c:pt>
                <c:pt idx="358">
                  <c:v>6.26573201465964</c:v>
                </c:pt>
                <c:pt idx="359">
                  <c:v>6.28318530717959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0.0174524064372835</c:v>
                </c:pt>
                <c:pt idx="1">
                  <c:v>0.034899496702501</c:v>
                </c:pt>
                <c:pt idx="2">
                  <c:v>0.0523359562429438</c:v>
                </c:pt>
                <c:pt idx="3">
                  <c:v>0.0697564737441253</c:v>
                </c:pt>
                <c:pt idx="4">
                  <c:v>0.0871557427476582</c:v>
                </c:pt>
                <c:pt idx="5">
                  <c:v>0.104528463267653</c:v>
                </c:pt>
                <c:pt idx="6">
                  <c:v>0.121869343405147</c:v>
                </c:pt>
                <c:pt idx="7">
                  <c:v>0.139173100960065</c:v>
                </c:pt>
                <c:pt idx="8">
                  <c:v>0.156434465040231</c:v>
                </c:pt>
                <c:pt idx="9">
                  <c:v>0.17364817766693</c:v>
                </c:pt>
                <c:pt idx="10">
                  <c:v>0.190808995376545</c:v>
                </c:pt>
                <c:pt idx="11">
                  <c:v>0.207911690817759</c:v>
                </c:pt>
                <c:pt idx="12">
                  <c:v>0.224951054343865</c:v>
                </c:pt>
                <c:pt idx="13">
                  <c:v>0.241921895599668</c:v>
                </c:pt>
                <c:pt idx="14">
                  <c:v>0.258819045102521</c:v>
                </c:pt>
                <c:pt idx="15">
                  <c:v>0.275637355816999</c:v>
                </c:pt>
                <c:pt idx="16">
                  <c:v>0.292371704722737</c:v>
                </c:pt>
                <c:pt idx="17">
                  <c:v>0.309016994374947</c:v>
                </c:pt>
                <c:pt idx="18">
                  <c:v>0.325568154457157</c:v>
                </c:pt>
                <c:pt idx="19">
                  <c:v>0.342020143325669</c:v>
                </c:pt>
                <c:pt idx="20">
                  <c:v>0.3583679495453</c:v>
                </c:pt>
                <c:pt idx="21">
                  <c:v>0.374606593415912</c:v>
                </c:pt>
                <c:pt idx="22">
                  <c:v>0.390731128489274</c:v>
                </c:pt>
                <c:pt idx="23">
                  <c:v>0.4067366430758</c:v>
                </c:pt>
                <c:pt idx="24">
                  <c:v>0.422618261740699</c:v>
                </c:pt>
                <c:pt idx="25">
                  <c:v>0.438371146789077</c:v>
                </c:pt>
                <c:pt idx="26">
                  <c:v>0.453990499739547</c:v>
                </c:pt>
                <c:pt idx="27">
                  <c:v>0.469471562785891</c:v>
                </c:pt>
                <c:pt idx="28">
                  <c:v>0.484809620246337</c:v>
                </c:pt>
                <c:pt idx="29">
                  <c:v>0.5</c:v>
                </c:pt>
                <c:pt idx="30">
                  <c:v>0.515038074910054</c:v>
                </c:pt>
                <c:pt idx="31">
                  <c:v>0.529919264233205</c:v>
                </c:pt>
                <c:pt idx="32">
                  <c:v>0.544639035015027</c:v>
                </c:pt>
                <c:pt idx="33">
                  <c:v>0.559192903470747</c:v>
                </c:pt>
                <c:pt idx="34">
                  <c:v>0.573576436351046</c:v>
                </c:pt>
                <c:pt idx="35">
                  <c:v>0.587785252292473</c:v>
                </c:pt>
                <c:pt idx="36">
                  <c:v>0.601815023152048</c:v>
                </c:pt>
                <c:pt idx="37">
                  <c:v>0.615661475325658</c:v>
                </c:pt>
                <c:pt idx="38">
                  <c:v>0.629320391049837</c:v>
                </c:pt>
                <c:pt idx="39">
                  <c:v>0.642787609686539</c:v>
                </c:pt>
                <c:pt idx="40">
                  <c:v>0.656059028990507</c:v>
                </c:pt>
                <c:pt idx="41">
                  <c:v>0.669130606358858</c:v>
                </c:pt>
                <c:pt idx="42">
                  <c:v>0.681998360062499</c:v>
                </c:pt>
                <c:pt idx="43">
                  <c:v>0.694658370458997</c:v>
                </c:pt>
                <c:pt idx="44">
                  <c:v>0.707106781186548</c:v>
                </c:pt>
                <c:pt idx="45">
                  <c:v>0.719339800338651</c:v>
                </c:pt>
                <c:pt idx="46">
                  <c:v>0.73135370161917</c:v>
                </c:pt>
                <c:pt idx="47">
                  <c:v>0.743144825477394</c:v>
                </c:pt>
                <c:pt idx="48">
                  <c:v>0.754709580222772</c:v>
                </c:pt>
                <c:pt idx="49">
                  <c:v>0.766044443118978</c:v>
                </c:pt>
                <c:pt idx="50">
                  <c:v>0.777145961456971</c:v>
                </c:pt>
                <c:pt idx="51">
                  <c:v>0.788010753606722</c:v>
                </c:pt>
                <c:pt idx="52">
                  <c:v>0.798635510047293</c:v>
                </c:pt>
                <c:pt idx="53">
                  <c:v>0.809016994374947</c:v>
                </c:pt>
                <c:pt idx="54">
                  <c:v>0.819152044288992</c:v>
                </c:pt>
                <c:pt idx="55">
                  <c:v>0.829037572555042</c:v>
                </c:pt>
                <c:pt idx="56">
                  <c:v>0.838670567945424</c:v>
                </c:pt>
                <c:pt idx="57">
                  <c:v>0.848048096156426</c:v>
                </c:pt>
                <c:pt idx="58">
                  <c:v>0.857167300702112</c:v>
                </c:pt>
                <c:pt idx="59">
                  <c:v>0.866025403784439</c:v>
                </c:pt>
                <c:pt idx="60">
                  <c:v>0.874619707139396</c:v>
                </c:pt>
                <c:pt idx="61">
                  <c:v>0.882947592858927</c:v>
                </c:pt>
                <c:pt idx="62">
                  <c:v>0.891006524188368</c:v>
                </c:pt>
                <c:pt idx="63">
                  <c:v>0.898794046299167</c:v>
                </c:pt>
                <c:pt idx="64">
                  <c:v>0.90630778703665</c:v>
                </c:pt>
                <c:pt idx="65">
                  <c:v>0.913545457642601</c:v>
                </c:pt>
                <c:pt idx="66">
                  <c:v>0.92050485345244</c:v>
                </c:pt>
                <c:pt idx="67">
                  <c:v>0.927183854566787</c:v>
                </c:pt>
                <c:pt idx="68">
                  <c:v>0.933580426497202</c:v>
                </c:pt>
                <c:pt idx="69">
                  <c:v>0.939692620785908</c:v>
                </c:pt>
                <c:pt idx="70">
                  <c:v>0.945518575599317</c:v>
                </c:pt>
                <c:pt idx="71">
                  <c:v>0.951056516295153</c:v>
                </c:pt>
                <c:pt idx="72">
                  <c:v>0.956304755963035</c:v>
                </c:pt>
                <c:pt idx="73">
                  <c:v>0.961261695938319</c:v>
                </c:pt>
                <c:pt idx="74">
                  <c:v>0.965925826289068</c:v>
                </c:pt>
                <c:pt idx="75">
                  <c:v>0.970295726275996</c:v>
                </c:pt>
                <c:pt idx="76">
                  <c:v>0.974370064785235</c:v>
                </c:pt>
                <c:pt idx="77">
                  <c:v>0.978147600733806</c:v>
                </c:pt>
                <c:pt idx="78">
                  <c:v>0.981627183447664</c:v>
                </c:pt>
                <c:pt idx="79">
                  <c:v>0.984807753012208</c:v>
                </c:pt>
                <c:pt idx="80">
                  <c:v>0.987688340595138</c:v>
                </c:pt>
                <c:pt idx="81">
                  <c:v>0.99026806874157</c:v>
                </c:pt>
                <c:pt idx="82">
                  <c:v>0.992546151641322</c:v>
                </c:pt>
                <c:pt idx="83">
                  <c:v>0.994521895368273</c:v>
                </c:pt>
                <c:pt idx="84">
                  <c:v>0.996194698091746</c:v>
                </c:pt>
                <c:pt idx="85">
                  <c:v>0.997564050259824</c:v>
                </c:pt>
                <c:pt idx="86">
                  <c:v>0.998629534754574</c:v>
                </c:pt>
                <c:pt idx="87">
                  <c:v>0.999390827019096</c:v>
                </c:pt>
                <c:pt idx="88">
                  <c:v>0.999847695156391</c:v>
                </c:pt>
                <c:pt idx="89">
                  <c:v>1</c:v>
                </c:pt>
                <c:pt idx="90">
                  <c:v>0.999847695156391</c:v>
                </c:pt>
                <c:pt idx="91">
                  <c:v>0.999390827019096</c:v>
                </c:pt>
                <c:pt idx="92">
                  <c:v>0.998629534754574</c:v>
                </c:pt>
                <c:pt idx="93">
                  <c:v>0.997564050259824</c:v>
                </c:pt>
                <c:pt idx="94">
                  <c:v>0.996194698091746</c:v>
                </c:pt>
                <c:pt idx="95">
                  <c:v>0.994521895368273</c:v>
                </c:pt>
                <c:pt idx="96">
                  <c:v>0.992546151641322</c:v>
                </c:pt>
                <c:pt idx="97">
                  <c:v>0.99026806874157</c:v>
                </c:pt>
                <c:pt idx="98">
                  <c:v>0.987688340595138</c:v>
                </c:pt>
                <c:pt idx="99">
                  <c:v>0.984807753012208</c:v>
                </c:pt>
                <c:pt idx="100">
                  <c:v>0.981627183447664</c:v>
                </c:pt>
                <c:pt idx="101">
                  <c:v>0.978147600733806</c:v>
                </c:pt>
                <c:pt idx="102">
                  <c:v>0.974370064785235</c:v>
                </c:pt>
                <c:pt idx="103">
                  <c:v>0.970295726275996</c:v>
                </c:pt>
                <c:pt idx="104">
                  <c:v>0.965925826289068</c:v>
                </c:pt>
                <c:pt idx="105">
                  <c:v>0.961261695938319</c:v>
                </c:pt>
                <c:pt idx="106">
                  <c:v>0.956304755963036</c:v>
                </c:pt>
                <c:pt idx="107">
                  <c:v>0.951056516295154</c:v>
                </c:pt>
                <c:pt idx="108">
                  <c:v>0.945518575599317</c:v>
                </c:pt>
                <c:pt idx="109">
                  <c:v>0.939692620785908</c:v>
                </c:pt>
                <c:pt idx="110">
                  <c:v>0.933580426497202</c:v>
                </c:pt>
                <c:pt idx="111">
                  <c:v>0.927183854566787</c:v>
                </c:pt>
                <c:pt idx="112">
                  <c:v>0.92050485345244</c:v>
                </c:pt>
                <c:pt idx="113">
                  <c:v>0.913545457642601</c:v>
                </c:pt>
                <c:pt idx="114">
                  <c:v>0.90630778703665</c:v>
                </c:pt>
                <c:pt idx="115">
                  <c:v>0.898794046299167</c:v>
                </c:pt>
                <c:pt idx="116">
                  <c:v>0.891006524188368</c:v>
                </c:pt>
                <c:pt idx="117">
                  <c:v>0.882947592858927</c:v>
                </c:pt>
                <c:pt idx="118">
                  <c:v>0.874619707139396</c:v>
                </c:pt>
                <c:pt idx="119">
                  <c:v>0.866025403784439</c:v>
                </c:pt>
                <c:pt idx="120">
                  <c:v>0.857167300702112</c:v>
                </c:pt>
                <c:pt idx="121">
                  <c:v>0.848048096156426</c:v>
                </c:pt>
                <c:pt idx="122">
                  <c:v>0.838670567945424</c:v>
                </c:pt>
                <c:pt idx="123">
                  <c:v>0.829037572555042</c:v>
                </c:pt>
                <c:pt idx="124">
                  <c:v>0.819152044288992</c:v>
                </c:pt>
                <c:pt idx="125">
                  <c:v>0.809016994374947</c:v>
                </c:pt>
                <c:pt idx="126">
                  <c:v>0.798635510047293</c:v>
                </c:pt>
                <c:pt idx="127">
                  <c:v>0.788010753606722</c:v>
                </c:pt>
                <c:pt idx="128">
                  <c:v>0.777145961456971</c:v>
                </c:pt>
                <c:pt idx="129">
                  <c:v>0.766044443118978</c:v>
                </c:pt>
                <c:pt idx="130">
                  <c:v>0.754709580222772</c:v>
                </c:pt>
                <c:pt idx="131">
                  <c:v>0.743144825477394</c:v>
                </c:pt>
                <c:pt idx="132">
                  <c:v>0.731353701619171</c:v>
                </c:pt>
                <c:pt idx="133">
                  <c:v>0.719339800338651</c:v>
                </c:pt>
                <c:pt idx="134">
                  <c:v>0.707106781186548</c:v>
                </c:pt>
                <c:pt idx="135">
                  <c:v>0.694658370458997</c:v>
                </c:pt>
                <c:pt idx="136">
                  <c:v>0.681998360062499</c:v>
                </c:pt>
                <c:pt idx="137">
                  <c:v>0.669130606358858</c:v>
                </c:pt>
                <c:pt idx="138">
                  <c:v>0.656059028990507</c:v>
                </c:pt>
                <c:pt idx="139">
                  <c:v>0.642787609686539</c:v>
                </c:pt>
                <c:pt idx="140">
                  <c:v>0.629320391049837</c:v>
                </c:pt>
                <c:pt idx="141">
                  <c:v>0.615661475325658</c:v>
                </c:pt>
                <c:pt idx="142">
                  <c:v>0.601815023152048</c:v>
                </c:pt>
                <c:pt idx="143">
                  <c:v>0.587785252292473</c:v>
                </c:pt>
                <c:pt idx="144">
                  <c:v>0.573576436351046</c:v>
                </c:pt>
                <c:pt idx="145">
                  <c:v>0.559192903470747</c:v>
                </c:pt>
                <c:pt idx="146">
                  <c:v>0.544639035015027</c:v>
                </c:pt>
                <c:pt idx="147">
                  <c:v>0.529919264233205</c:v>
                </c:pt>
                <c:pt idx="148">
                  <c:v>0.515038074910054</c:v>
                </c:pt>
                <c:pt idx="149">
                  <c:v>0.5</c:v>
                </c:pt>
                <c:pt idx="150">
                  <c:v>0.484809620246337</c:v>
                </c:pt>
                <c:pt idx="151">
                  <c:v>0.469471562785891</c:v>
                </c:pt>
                <c:pt idx="152">
                  <c:v>0.453990499739547</c:v>
                </c:pt>
                <c:pt idx="153">
                  <c:v>0.438371146789077</c:v>
                </c:pt>
                <c:pt idx="154">
                  <c:v>0.422618261740699</c:v>
                </c:pt>
                <c:pt idx="155">
                  <c:v>0.4067366430758</c:v>
                </c:pt>
                <c:pt idx="156">
                  <c:v>0.390731128489274</c:v>
                </c:pt>
                <c:pt idx="157">
                  <c:v>0.374606593415912</c:v>
                </c:pt>
                <c:pt idx="158">
                  <c:v>0.3583679495453</c:v>
                </c:pt>
                <c:pt idx="159">
                  <c:v>0.342020143325669</c:v>
                </c:pt>
                <c:pt idx="160">
                  <c:v>0.325568154457157</c:v>
                </c:pt>
                <c:pt idx="161">
                  <c:v>0.309016994374947</c:v>
                </c:pt>
                <c:pt idx="162">
                  <c:v>0.292371704722737</c:v>
                </c:pt>
                <c:pt idx="163">
                  <c:v>0.275637355816999</c:v>
                </c:pt>
                <c:pt idx="164">
                  <c:v>0.258819045102521</c:v>
                </c:pt>
                <c:pt idx="165">
                  <c:v>0.241921895599668</c:v>
                </c:pt>
                <c:pt idx="166">
                  <c:v>0.224951054343865</c:v>
                </c:pt>
                <c:pt idx="167">
                  <c:v>0.207911690817759</c:v>
                </c:pt>
                <c:pt idx="168">
                  <c:v>0.190808995376545</c:v>
                </c:pt>
                <c:pt idx="169">
                  <c:v>0.17364817766693</c:v>
                </c:pt>
                <c:pt idx="170">
                  <c:v>0.156434465040231</c:v>
                </c:pt>
                <c:pt idx="171">
                  <c:v>0.139173100960065</c:v>
                </c:pt>
                <c:pt idx="172">
                  <c:v>0.121869343405148</c:v>
                </c:pt>
                <c:pt idx="173">
                  <c:v>0.104528463267654</c:v>
                </c:pt>
                <c:pt idx="174">
                  <c:v>0.0871557427476582</c:v>
                </c:pt>
                <c:pt idx="175">
                  <c:v>0.0697564737441255</c:v>
                </c:pt>
                <c:pt idx="176">
                  <c:v>0.0523359562429438</c:v>
                </c:pt>
                <c:pt idx="177">
                  <c:v>0.0348994967025011</c:v>
                </c:pt>
                <c:pt idx="178">
                  <c:v>0.0174524064372834</c:v>
                </c:pt>
                <c:pt idx="179">
                  <c:v>1.22464679914735E-016</c:v>
                </c:pt>
                <c:pt idx="180">
                  <c:v>-0.0174524064372836</c:v>
                </c:pt>
                <c:pt idx="181">
                  <c:v>-0.0348994967025009</c:v>
                </c:pt>
                <c:pt idx="182">
                  <c:v>-0.0523359562429436</c:v>
                </c:pt>
                <c:pt idx="183">
                  <c:v>-0.0697564737441253</c:v>
                </c:pt>
                <c:pt idx="184">
                  <c:v>-0.0871557427476579</c:v>
                </c:pt>
                <c:pt idx="185">
                  <c:v>-0.104528463267653</c:v>
                </c:pt>
                <c:pt idx="186">
                  <c:v>-0.121869343405147</c:v>
                </c:pt>
                <c:pt idx="187">
                  <c:v>-0.139173100960066</c:v>
                </c:pt>
                <c:pt idx="188">
                  <c:v>-0.156434465040231</c:v>
                </c:pt>
                <c:pt idx="189">
                  <c:v>-0.17364817766693</c:v>
                </c:pt>
                <c:pt idx="190">
                  <c:v>-0.190808995376545</c:v>
                </c:pt>
                <c:pt idx="191">
                  <c:v>-0.207911690817759</c:v>
                </c:pt>
                <c:pt idx="192">
                  <c:v>-0.224951054343865</c:v>
                </c:pt>
                <c:pt idx="193">
                  <c:v>-0.241921895599667</c:v>
                </c:pt>
                <c:pt idx="194">
                  <c:v>-0.258819045102521</c:v>
                </c:pt>
                <c:pt idx="195">
                  <c:v>-0.275637355816999</c:v>
                </c:pt>
                <c:pt idx="196">
                  <c:v>-0.292371704722737</c:v>
                </c:pt>
                <c:pt idx="197">
                  <c:v>-0.309016994374947</c:v>
                </c:pt>
                <c:pt idx="198">
                  <c:v>-0.325568154457157</c:v>
                </c:pt>
                <c:pt idx="199">
                  <c:v>-0.342020143325669</c:v>
                </c:pt>
                <c:pt idx="200">
                  <c:v>-0.3583679495453</c:v>
                </c:pt>
                <c:pt idx="201">
                  <c:v>-0.374606593415912</c:v>
                </c:pt>
                <c:pt idx="202">
                  <c:v>-0.390731128489274</c:v>
                </c:pt>
                <c:pt idx="203">
                  <c:v>-0.4067366430758</c:v>
                </c:pt>
                <c:pt idx="204">
                  <c:v>-0.422618261740699</c:v>
                </c:pt>
                <c:pt idx="205">
                  <c:v>-0.438371146789077</c:v>
                </c:pt>
                <c:pt idx="206">
                  <c:v>-0.453990499739547</c:v>
                </c:pt>
                <c:pt idx="207">
                  <c:v>-0.469471562785891</c:v>
                </c:pt>
                <c:pt idx="208">
                  <c:v>-0.484809620246337</c:v>
                </c:pt>
                <c:pt idx="209">
                  <c:v>-0.5</c:v>
                </c:pt>
                <c:pt idx="210">
                  <c:v>-0.515038074910054</c:v>
                </c:pt>
                <c:pt idx="211">
                  <c:v>-0.529919264233205</c:v>
                </c:pt>
                <c:pt idx="212">
                  <c:v>-0.544639035015027</c:v>
                </c:pt>
                <c:pt idx="213">
                  <c:v>-0.559192903470747</c:v>
                </c:pt>
                <c:pt idx="214">
                  <c:v>-0.573576436351046</c:v>
                </c:pt>
                <c:pt idx="215">
                  <c:v>-0.587785252292473</c:v>
                </c:pt>
                <c:pt idx="216">
                  <c:v>-0.601815023152048</c:v>
                </c:pt>
                <c:pt idx="217">
                  <c:v>-0.615661475325658</c:v>
                </c:pt>
                <c:pt idx="218">
                  <c:v>-0.629320391049838</c:v>
                </c:pt>
                <c:pt idx="219">
                  <c:v>-0.642787609686539</c:v>
                </c:pt>
                <c:pt idx="220">
                  <c:v>-0.656059028990507</c:v>
                </c:pt>
                <c:pt idx="221">
                  <c:v>-0.669130606358858</c:v>
                </c:pt>
                <c:pt idx="222">
                  <c:v>-0.681998360062498</c:v>
                </c:pt>
                <c:pt idx="223">
                  <c:v>-0.694658370458997</c:v>
                </c:pt>
                <c:pt idx="224">
                  <c:v>-0.707106781186547</c:v>
                </c:pt>
                <c:pt idx="225">
                  <c:v>-0.719339800338651</c:v>
                </c:pt>
                <c:pt idx="226">
                  <c:v>-0.73135370161917</c:v>
                </c:pt>
                <c:pt idx="227">
                  <c:v>-0.743144825477394</c:v>
                </c:pt>
                <c:pt idx="228">
                  <c:v>-0.754709580222772</c:v>
                </c:pt>
                <c:pt idx="229">
                  <c:v>-0.766044443118978</c:v>
                </c:pt>
                <c:pt idx="230">
                  <c:v>-0.777145961456971</c:v>
                </c:pt>
                <c:pt idx="231">
                  <c:v>-0.788010753606722</c:v>
                </c:pt>
                <c:pt idx="232">
                  <c:v>-0.798635510047293</c:v>
                </c:pt>
                <c:pt idx="233">
                  <c:v>-0.809016994374947</c:v>
                </c:pt>
                <c:pt idx="234">
                  <c:v>-0.819152044288992</c:v>
                </c:pt>
                <c:pt idx="235">
                  <c:v>-0.829037572555042</c:v>
                </c:pt>
                <c:pt idx="236">
                  <c:v>-0.838670567945424</c:v>
                </c:pt>
                <c:pt idx="237">
                  <c:v>-0.848048096156426</c:v>
                </c:pt>
                <c:pt idx="238">
                  <c:v>-0.857167300702112</c:v>
                </c:pt>
                <c:pt idx="239">
                  <c:v>-0.866025403784438</c:v>
                </c:pt>
                <c:pt idx="240">
                  <c:v>-0.874619707139396</c:v>
                </c:pt>
                <c:pt idx="241">
                  <c:v>-0.882947592858927</c:v>
                </c:pt>
                <c:pt idx="242">
                  <c:v>-0.891006524188368</c:v>
                </c:pt>
                <c:pt idx="243">
                  <c:v>-0.898794046299167</c:v>
                </c:pt>
                <c:pt idx="244">
                  <c:v>-0.90630778703665</c:v>
                </c:pt>
                <c:pt idx="245">
                  <c:v>-0.913545457642601</c:v>
                </c:pt>
                <c:pt idx="246">
                  <c:v>-0.92050485345244</c:v>
                </c:pt>
                <c:pt idx="247">
                  <c:v>-0.927183854566787</c:v>
                </c:pt>
                <c:pt idx="248">
                  <c:v>-0.933580426497202</c:v>
                </c:pt>
                <c:pt idx="249">
                  <c:v>-0.939692620785908</c:v>
                </c:pt>
                <c:pt idx="250">
                  <c:v>-0.945518575599317</c:v>
                </c:pt>
                <c:pt idx="251">
                  <c:v>-0.951056516295153</c:v>
                </c:pt>
                <c:pt idx="252">
                  <c:v>-0.956304755963035</c:v>
                </c:pt>
                <c:pt idx="253">
                  <c:v>-0.961261695938319</c:v>
                </c:pt>
                <c:pt idx="254">
                  <c:v>-0.965925826289068</c:v>
                </c:pt>
                <c:pt idx="255">
                  <c:v>-0.970295726275996</c:v>
                </c:pt>
                <c:pt idx="256">
                  <c:v>-0.974370064785235</c:v>
                </c:pt>
                <c:pt idx="257">
                  <c:v>-0.978147600733806</c:v>
                </c:pt>
                <c:pt idx="258">
                  <c:v>-0.981627183447664</c:v>
                </c:pt>
                <c:pt idx="259">
                  <c:v>-0.984807753012208</c:v>
                </c:pt>
                <c:pt idx="260">
                  <c:v>-0.987688340595138</c:v>
                </c:pt>
                <c:pt idx="261">
                  <c:v>-0.99026806874157</c:v>
                </c:pt>
                <c:pt idx="262">
                  <c:v>-0.992546151641322</c:v>
                </c:pt>
                <c:pt idx="263">
                  <c:v>-0.994521895368273</c:v>
                </c:pt>
                <c:pt idx="264">
                  <c:v>-0.996194698091746</c:v>
                </c:pt>
                <c:pt idx="265">
                  <c:v>-0.997564050259824</c:v>
                </c:pt>
                <c:pt idx="266">
                  <c:v>-0.998629534754574</c:v>
                </c:pt>
                <c:pt idx="267">
                  <c:v>-0.999390827019096</c:v>
                </c:pt>
                <c:pt idx="268">
                  <c:v>-0.999847695156391</c:v>
                </c:pt>
                <c:pt idx="269">
                  <c:v>-1</c:v>
                </c:pt>
                <c:pt idx="270">
                  <c:v>-0.999847695156391</c:v>
                </c:pt>
                <c:pt idx="271">
                  <c:v>-0.999390827019096</c:v>
                </c:pt>
                <c:pt idx="272">
                  <c:v>-0.998629534754574</c:v>
                </c:pt>
                <c:pt idx="273">
                  <c:v>-0.997564050259824</c:v>
                </c:pt>
                <c:pt idx="274">
                  <c:v>-0.996194698091746</c:v>
                </c:pt>
                <c:pt idx="275">
                  <c:v>-0.994521895368273</c:v>
                </c:pt>
                <c:pt idx="276">
                  <c:v>-0.992546151641322</c:v>
                </c:pt>
                <c:pt idx="277">
                  <c:v>-0.99026806874157</c:v>
                </c:pt>
                <c:pt idx="278">
                  <c:v>-0.987688340595138</c:v>
                </c:pt>
                <c:pt idx="279">
                  <c:v>-0.984807753012208</c:v>
                </c:pt>
                <c:pt idx="280">
                  <c:v>-0.981627183447664</c:v>
                </c:pt>
                <c:pt idx="281">
                  <c:v>-0.978147600733806</c:v>
                </c:pt>
                <c:pt idx="282">
                  <c:v>-0.974370064785235</c:v>
                </c:pt>
                <c:pt idx="283">
                  <c:v>-0.970295726275996</c:v>
                </c:pt>
                <c:pt idx="284">
                  <c:v>-0.965925826289068</c:v>
                </c:pt>
                <c:pt idx="285">
                  <c:v>-0.961261695938319</c:v>
                </c:pt>
                <c:pt idx="286">
                  <c:v>-0.956304755963035</c:v>
                </c:pt>
                <c:pt idx="287">
                  <c:v>-0.951056516295154</c:v>
                </c:pt>
                <c:pt idx="288">
                  <c:v>-0.945518575599317</c:v>
                </c:pt>
                <c:pt idx="289">
                  <c:v>-0.939692620785908</c:v>
                </c:pt>
                <c:pt idx="290">
                  <c:v>-0.933580426497202</c:v>
                </c:pt>
                <c:pt idx="291">
                  <c:v>-0.927183854566787</c:v>
                </c:pt>
                <c:pt idx="292">
                  <c:v>-0.920504853452441</c:v>
                </c:pt>
                <c:pt idx="293">
                  <c:v>-0.913545457642601</c:v>
                </c:pt>
                <c:pt idx="294">
                  <c:v>-0.90630778703665</c:v>
                </c:pt>
                <c:pt idx="295">
                  <c:v>-0.898794046299167</c:v>
                </c:pt>
                <c:pt idx="296">
                  <c:v>-0.891006524188368</c:v>
                </c:pt>
                <c:pt idx="297">
                  <c:v>-0.882947592858927</c:v>
                </c:pt>
                <c:pt idx="298">
                  <c:v>-0.874619707139396</c:v>
                </c:pt>
                <c:pt idx="299">
                  <c:v>-0.866025403784439</c:v>
                </c:pt>
                <c:pt idx="300">
                  <c:v>-0.857167300702112</c:v>
                </c:pt>
                <c:pt idx="301">
                  <c:v>-0.848048096156426</c:v>
                </c:pt>
                <c:pt idx="302">
                  <c:v>-0.838670567945424</c:v>
                </c:pt>
                <c:pt idx="303">
                  <c:v>-0.829037572555042</c:v>
                </c:pt>
                <c:pt idx="304">
                  <c:v>-0.819152044288992</c:v>
                </c:pt>
                <c:pt idx="305">
                  <c:v>-0.809016994374947</c:v>
                </c:pt>
                <c:pt idx="306">
                  <c:v>-0.798635510047293</c:v>
                </c:pt>
                <c:pt idx="307">
                  <c:v>-0.788010753606722</c:v>
                </c:pt>
                <c:pt idx="308">
                  <c:v>-0.777145961456971</c:v>
                </c:pt>
                <c:pt idx="309">
                  <c:v>-0.766044443118978</c:v>
                </c:pt>
                <c:pt idx="310">
                  <c:v>-0.754709580222772</c:v>
                </c:pt>
                <c:pt idx="311">
                  <c:v>-0.743144825477395</c:v>
                </c:pt>
                <c:pt idx="312">
                  <c:v>-0.73135370161917</c:v>
                </c:pt>
                <c:pt idx="313">
                  <c:v>-0.719339800338651</c:v>
                </c:pt>
                <c:pt idx="314">
                  <c:v>-0.707106781186548</c:v>
                </c:pt>
                <c:pt idx="315">
                  <c:v>-0.694658370458998</c:v>
                </c:pt>
                <c:pt idx="316">
                  <c:v>-0.681998360062498</c:v>
                </c:pt>
                <c:pt idx="317">
                  <c:v>-0.669130606358858</c:v>
                </c:pt>
                <c:pt idx="318">
                  <c:v>-0.656059028990507</c:v>
                </c:pt>
                <c:pt idx="319">
                  <c:v>-0.64278760968654</c:v>
                </c:pt>
                <c:pt idx="320">
                  <c:v>-0.629320391049838</c:v>
                </c:pt>
                <c:pt idx="321">
                  <c:v>-0.615661475325658</c:v>
                </c:pt>
                <c:pt idx="322">
                  <c:v>-0.601815023152048</c:v>
                </c:pt>
                <c:pt idx="323">
                  <c:v>-0.587785252292473</c:v>
                </c:pt>
                <c:pt idx="324">
                  <c:v>-0.573576436351047</c:v>
                </c:pt>
                <c:pt idx="325">
                  <c:v>-0.559192903470747</c:v>
                </c:pt>
                <c:pt idx="326">
                  <c:v>-0.544639035015027</c:v>
                </c:pt>
                <c:pt idx="327">
                  <c:v>-0.529919264233205</c:v>
                </c:pt>
                <c:pt idx="328">
                  <c:v>-0.515038074910054</c:v>
                </c:pt>
                <c:pt idx="329">
                  <c:v>-0.5</c:v>
                </c:pt>
                <c:pt idx="330">
                  <c:v>-0.484809620246337</c:v>
                </c:pt>
                <c:pt idx="331">
                  <c:v>-0.469471562785891</c:v>
                </c:pt>
                <c:pt idx="332">
                  <c:v>-0.453990499739547</c:v>
                </c:pt>
                <c:pt idx="333">
                  <c:v>-0.438371146789078</c:v>
                </c:pt>
                <c:pt idx="334">
                  <c:v>-0.422618261740699</c:v>
                </c:pt>
                <c:pt idx="335">
                  <c:v>-0.4067366430758</c:v>
                </c:pt>
                <c:pt idx="336">
                  <c:v>-0.390731128489274</c:v>
                </c:pt>
                <c:pt idx="337">
                  <c:v>-0.374606593415912</c:v>
                </c:pt>
                <c:pt idx="338">
                  <c:v>-0.358367949545301</c:v>
                </c:pt>
                <c:pt idx="339">
                  <c:v>-0.342020143325669</c:v>
                </c:pt>
                <c:pt idx="340">
                  <c:v>-0.325568154457157</c:v>
                </c:pt>
                <c:pt idx="341">
                  <c:v>-0.309016994374948</c:v>
                </c:pt>
                <c:pt idx="342">
                  <c:v>-0.292371704722737</c:v>
                </c:pt>
                <c:pt idx="343">
                  <c:v>-0.275637355816999</c:v>
                </c:pt>
                <c:pt idx="344">
                  <c:v>-0.258819045102521</c:v>
                </c:pt>
                <c:pt idx="345">
                  <c:v>-0.241921895599668</c:v>
                </c:pt>
                <c:pt idx="346">
                  <c:v>-0.224951054343865</c:v>
                </c:pt>
                <c:pt idx="347">
                  <c:v>-0.20791169081776</c:v>
                </c:pt>
                <c:pt idx="348">
                  <c:v>-0.190808995376545</c:v>
                </c:pt>
                <c:pt idx="349">
                  <c:v>-0.17364817766693</c:v>
                </c:pt>
                <c:pt idx="350">
                  <c:v>-0.156434465040231</c:v>
                </c:pt>
                <c:pt idx="351">
                  <c:v>-0.139173100960066</c:v>
                </c:pt>
                <c:pt idx="352">
                  <c:v>-0.121869343405147</c:v>
                </c:pt>
                <c:pt idx="353">
                  <c:v>-0.104528463267653</c:v>
                </c:pt>
                <c:pt idx="354">
                  <c:v>-0.0871557427476583</c:v>
                </c:pt>
                <c:pt idx="355">
                  <c:v>-0.0697564737441256</c:v>
                </c:pt>
                <c:pt idx="356">
                  <c:v>-0.0523359562429444</c:v>
                </c:pt>
                <c:pt idx="357">
                  <c:v>-0.0348994967025008</c:v>
                </c:pt>
                <c:pt idx="358">
                  <c:v>-0.0174524064372836</c:v>
                </c:pt>
                <c:pt idx="359">
                  <c:v>-2.45029690981724E-016</c:v>
                </c:pt>
              </c:numCache>
            </c:numRef>
          </c:yVal>
          <c:smooth val="0"/>
        </c:ser>
        <c:axId val="54861448"/>
        <c:axId val="71943267"/>
      </c:scatterChart>
      <c:valAx>
        <c:axId val="54861448"/>
        <c:scaling>
          <c:orientation val="minMax"/>
          <c:max val="6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71943267"/>
        <c:crosses val="autoZero"/>
        <c:crossBetween val="midCat"/>
      </c:valAx>
      <c:valAx>
        <c:axId val="71943267"/>
        <c:scaling>
          <c:orientation val="minMax"/>
          <c:max val="1"/>
          <c:min val="-1"/>
        </c:scaling>
        <c:delete val="1"/>
        <c:axPos val="l"/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4861448"/>
        <c:crosses val="autoZero"/>
        <c:crossBetween val="midCat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5" Type="http://schemas.openxmlformats.org/officeDocument/2006/relationships/image" Target="../media/image1.png"/><Relationship Id="rId6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340920</xdr:colOff>
      <xdr:row>53</xdr:row>
      <xdr:rowOff>122040</xdr:rowOff>
    </xdr:from>
    <xdr:to>
      <xdr:col>10</xdr:col>
      <xdr:colOff>409680</xdr:colOff>
      <xdr:row>70</xdr:row>
      <xdr:rowOff>12600</xdr:rowOff>
    </xdr:to>
    <xdr:graphicFrame>
      <xdr:nvGraphicFramePr>
        <xdr:cNvPr id="0" name="Chart 4"/>
        <xdr:cNvGraphicFramePr/>
      </xdr:nvGraphicFramePr>
      <xdr:xfrm>
        <a:off x="1941120" y="9052560"/>
        <a:ext cx="6498000" cy="2740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339840</xdr:colOff>
      <xdr:row>70</xdr:row>
      <xdr:rowOff>12600</xdr:rowOff>
    </xdr:from>
    <xdr:to>
      <xdr:col>10</xdr:col>
      <xdr:colOff>409680</xdr:colOff>
      <xdr:row>80</xdr:row>
      <xdr:rowOff>12960</xdr:rowOff>
    </xdr:to>
    <xdr:graphicFrame>
      <xdr:nvGraphicFramePr>
        <xdr:cNvPr id="1" name="Chart 13"/>
        <xdr:cNvGraphicFramePr/>
      </xdr:nvGraphicFramePr>
      <xdr:xfrm>
        <a:off x="1940040" y="11792880"/>
        <a:ext cx="6499080" cy="1676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542520</xdr:colOff>
      <xdr:row>3</xdr:row>
      <xdr:rowOff>101880</xdr:rowOff>
    </xdr:from>
    <xdr:to>
      <xdr:col>10</xdr:col>
      <xdr:colOff>611280</xdr:colOff>
      <xdr:row>19</xdr:row>
      <xdr:rowOff>158760</xdr:rowOff>
    </xdr:to>
    <xdr:graphicFrame>
      <xdr:nvGraphicFramePr>
        <xdr:cNvPr id="2" name="Chart 20"/>
        <xdr:cNvGraphicFramePr/>
      </xdr:nvGraphicFramePr>
      <xdr:xfrm>
        <a:off x="2142720" y="604800"/>
        <a:ext cx="6498000" cy="2738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541080</xdr:colOff>
      <xdr:row>19</xdr:row>
      <xdr:rowOff>152640</xdr:rowOff>
    </xdr:from>
    <xdr:to>
      <xdr:col>10</xdr:col>
      <xdr:colOff>610920</xdr:colOff>
      <xdr:row>29</xdr:row>
      <xdr:rowOff>153000</xdr:rowOff>
    </xdr:to>
    <xdr:graphicFrame>
      <xdr:nvGraphicFramePr>
        <xdr:cNvPr id="3" name="Chart 21"/>
        <xdr:cNvGraphicFramePr/>
      </xdr:nvGraphicFramePr>
      <xdr:xfrm>
        <a:off x="2141280" y="3337560"/>
        <a:ext cx="6499080" cy="1676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769680</xdr:colOff>
      <xdr:row>26</xdr:row>
      <xdr:rowOff>124560</xdr:rowOff>
    </xdr:from>
    <xdr:to>
      <xdr:col>10</xdr:col>
      <xdr:colOff>62640</xdr:colOff>
      <xdr:row>52</xdr:row>
      <xdr:rowOff>139680</xdr:rowOff>
    </xdr:to>
    <xdr:pic>
      <xdr:nvPicPr>
        <xdr:cNvPr id="4" name="Picture 23" descr=""/>
        <xdr:cNvPicPr/>
      </xdr:nvPicPr>
      <xdr:blipFill>
        <a:blip r:embed="rId5"/>
        <a:stretch/>
      </xdr:blipFill>
      <xdr:spPr>
        <a:xfrm>
          <a:off x="1569600" y="4483080"/>
          <a:ext cx="6522480" cy="44193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50400</xdr:colOff>
      <xdr:row>87</xdr:row>
      <xdr:rowOff>122040</xdr:rowOff>
    </xdr:from>
    <xdr:to>
      <xdr:col>10</xdr:col>
      <xdr:colOff>129960</xdr:colOff>
      <xdr:row>114</xdr:row>
      <xdr:rowOff>27720</xdr:rowOff>
    </xdr:to>
    <xdr:pic>
      <xdr:nvPicPr>
        <xdr:cNvPr id="5" name="Picture 24" descr=""/>
        <xdr:cNvPicPr/>
      </xdr:nvPicPr>
      <xdr:blipFill>
        <a:blip r:embed="rId6"/>
        <a:stretch/>
      </xdr:blipFill>
      <xdr:spPr>
        <a:xfrm>
          <a:off x="1650600" y="14752440"/>
          <a:ext cx="6508800" cy="4431960"/>
        </a:xfrm>
        <a:prstGeom prst="rect">
          <a:avLst/>
        </a:prstGeom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92:C452" headerRowCount="1" totalsRowCount="0" totalsRowShown="0">
  <autoFilter ref="A92:C452"/>
  <tableColumns count="3">
    <tableColumn id="1" name="x"/>
    <tableColumn id="2" name="rad(x)"/>
    <tableColumn id="3" name="sin(rad(x))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52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O57" activeCellId="0" sqref="O57"/>
    </sheetView>
  </sheetViews>
  <sheetFormatPr defaultRowHeight="13.2"/>
  <cols>
    <col collapsed="false" hidden="false" max="2" min="1" style="0" width="11.3418367346939"/>
    <col collapsed="false" hidden="false" max="3" min="3" style="0" width="11.7448979591837"/>
    <col collapsed="false" hidden="false" max="15" min="4" style="0" width="11.3418367346939"/>
    <col collapsed="false" hidden="false" max="16" min="16" style="1" width="11.3418367346939"/>
    <col collapsed="false" hidden="false" max="1025" min="17" style="0" width="11.3418367346939"/>
  </cols>
  <sheetData>
    <row r="1" customFormat="false" ht="13.2" hidden="false" customHeight="false" outlineLevel="0" collapsed="false">
      <c r="P1" s="0"/>
    </row>
    <row r="2" customFormat="false" ht="13.2" hidden="false" customHeight="false" outlineLevel="0" collapsed="false">
      <c r="A2" s="0" t="s">
        <v>0</v>
      </c>
      <c r="K2" s="1"/>
      <c r="L2" s="1"/>
      <c r="M2" s="1"/>
      <c r="N2" s="1"/>
      <c r="O2" s="1"/>
      <c r="P2" s="0"/>
      <c r="Q2" s="1" t="s">
        <v>1</v>
      </c>
      <c r="T2" s="1" t="s">
        <v>2</v>
      </c>
    </row>
    <row r="3" customFormat="false" ht="13.2" hidden="false" customHeight="false" outlineLevel="0" collapsed="false">
      <c r="K3" s="1"/>
      <c r="L3" s="1" t="s">
        <v>3</v>
      </c>
      <c r="M3" s="1" t="s">
        <v>4</v>
      </c>
      <c r="N3" s="2" t="s">
        <v>5</v>
      </c>
      <c r="O3" s="2" t="s">
        <v>6</v>
      </c>
      <c r="P3" s="0"/>
      <c r="Q3" s="1" t="s">
        <v>3</v>
      </c>
      <c r="R3" s="1" t="s">
        <v>4</v>
      </c>
      <c r="S3" s="2" t="s">
        <v>6</v>
      </c>
      <c r="T3" s="1" t="s">
        <v>3</v>
      </c>
      <c r="U3" s="1" t="s">
        <v>4</v>
      </c>
      <c r="V3" s="2" t="s">
        <v>6</v>
      </c>
    </row>
    <row r="4" customFormat="false" ht="13.2" hidden="false" customHeight="false" outlineLevel="0" collapsed="false">
      <c r="A4" s="0" t="s">
        <v>7</v>
      </c>
      <c r="B4" s="0" t="n">
        <v>45</v>
      </c>
      <c r="K4" s="1"/>
      <c r="L4" s="1" t="n">
        <v>0.0724802</v>
      </c>
      <c r="M4" s="1" t="n">
        <v>0.512024</v>
      </c>
      <c r="N4" s="2" t="n">
        <v>0.630072</v>
      </c>
      <c r="O4" s="2" t="n">
        <f aca="false">SUM(L4,M4)</f>
        <v>0.5845042</v>
      </c>
      <c r="P4" s="0"/>
      <c r="Q4" s="0" t="n">
        <v>0.072506</v>
      </c>
      <c r="R4" s="0" t="n">
        <v>0.537223</v>
      </c>
      <c r="S4" s="0" t="n">
        <f aca="false">Q4+R4</f>
        <v>0.609729</v>
      </c>
      <c r="T4" s="0" t="n">
        <v>0.0723972</v>
      </c>
      <c r="U4" s="0" t="n">
        <v>0.537811</v>
      </c>
      <c r="V4" s="0" t="n">
        <f aca="false">T4+U4</f>
        <v>0.6102082</v>
      </c>
    </row>
    <row r="5" customFormat="false" ht="13.2" hidden="false" customHeight="false" outlineLevel="0" collapsed="false">
      <c r="B5" s="0" t="n">
        <v>45</v>
      </c>
      <c r="K5" s="1"/>
      <c r="L5" s="1" t="n">
        <v>0.0641505</v>
      </c>
      <c r="M5" s="3" t="n">
        <v>5.51224E-005</v>
      </c>
      <c r="N5" s="1" t="n">
        <v>0.621886</v>
      </c>
      <c r="O5" s="1"/>
      <c r="P5" s="0"/>
    </row>
    <row r="6" customFormat="false" ht="13.2" hidden="false" customHeight="false" outlineLevel="0" collapsed="false">
      <c r="B6" s="0" t="n">
        <v>45</v>
      </c>
      <c r="K6" s="1"/>
      <c r="L6" s="1" t="n">
        <v>0.0642408</v>
      </c>
      <c r="M6" s="3" t="n">
        <v>3.48091E-006</v>
      </c>
      <c r="N6" s="1" t="n">
        <v>0.610919</v>
      </c>
      <c r="P6" s="0"/>
    </row>
    <row r="7" customFormat="false" ht="13.2" hidden="false" customHeight="false" outlineLevel="0" collapsed="false">
      <c r="B7" s="0" t="n">
        <v>45</v>
      </c>
      <c r="K7" s="1"/>
      <c r="L7" s="1" t="n">
        <v>0.0653013</v>
      </c>
      <c r="M7" s="3" t="n">
        <v>3.91006E-006</v>
      </c>
      <c r="N7" s="1" t="n">
        <v>0.623609</v>
      </c>
      <c r="P7" s="0"/>
    </row>
    <row r="8" customFormat="false" ht="13.2" hidden="false" customHeight="false" outlineLevel="0" collapsed="false">
      <c r="B8" s="0" t="n">
        <v>46</v>
      </c>
      <c r="K8" s="1"/>
      <c r="L8" s="1" t="n">
        <v>0.0641945</v>
      </c>
      <c r="M8" s="3" t="n">
        <v>3.05176E-006</v>
      </c>
      <c r="N8" s="1" t="n">
        <v>0.653003</v>
      </c>
      <c r="O8" s="1"/>
      <c r="P8" s="0"/>
    </row>
    <row r="9" customFormat="false" ht="13.2" hidden="false" customHeight="false" outlineLevel="0" collapsed="false">
      <c r="B9" s="0" t="n">
        <v>48</v>
      </c>
      <c r="K9" s="1"/>
      <c r="L9" s="1" t="n">
        <v>0.06384</v>
      </c>
      <c r="M9" s="3" t="n">
        <v>3.57628E-006</v>
      </c>
      <c r="N9" s="1" t="n">
        <v>0.656763</v>
      </c>
      <c r="O9" s="1"/>
      <c r="P9" s="0"/>
    </row>
    <row r="10" customFormat="false" ht="13.2" hidden="false" customHeight="false" outlineLevel="0" collapsed="false">
      <c r="B10" s="0" t="n">
        <v>48</v>
      </c>
      <c r="K10" s="1"/>
      <c r="L10" s="1" t="n">
        <v>0.0650845</v>
      </c>
      <c r="M10" s="3" t="n">
        <v>7.05719E-006</v>
      </c>
      <c r="N10" s="1" t="n">
        <v>0.65436</v>
      </c>
      <c r="O10" s="1"/>
      <c r="P10" s="0"/>
    </row>
    <row r="11" customFormat="false" ht="13.2" hidden="false" customHeight="false" outlineLevel="0" collapsed="false">
      <c r="B11" s="0" t="n">
        <v>49</v>
      </c>
      <c r="K11" s="1"/>
      <c r="L11" s="4" t="n">
        <v>0.0640471</v>
      </c>
      <c r="M11" s="5" t="n">
        <v>3.09944E-006</v>
      </c>
      <c r="N11" s="4" t="n">
        <v>0.666799</v>
      </c>
      <c r="O11" s="6" t="n">
        <f aca="false">L11+M11</f>
        <v>0.06405019944</v>
      </c>
      <c r="P11" s="1" t="s">
        <v>8</v>
      </c>
      <c r="Q11" s="7" t="s">
        <v>9</v>
      </c>
      <c r="R11" s="0" t="n">
        <f aca="false">N11/N4</f>
        <v>1.05829016366384</v>
      </c>
    </row>
    <row r="12" customFormat="false" ht="13.2" hidden="false" customHeight="false" outlineLevel="0" collapsed="false">
      <c r="B12" s="0" t="n">
        <v>49</v>
      </c>
      <c r="K12" s="1"/>
      <c r="L12" s="1" t="n">
        <v>0.0595097</v>
      </c>
      <c r="M12" s="3" t="n">
        <v>3.19481E-006</v>
      </c>
      <c r="N12" s="1" t="n">
        <v>0.637002</v>
      </c>
      <c r="O12" s="1"/>
      <c r="P12" s="0"/>
    </row>
    <row r="13" customFormat="false" ht="13.2" hidden="false" customHeight="false" outlineLevel="0" collapsed="false">
      <c r="B13" s="0" t="n">
        <v>49</v>
      </c>
      <c r="K13" s="1"/>
      <c r="L13" s="1" t="n">
        <v>0.0638175</v>
      </c>
      <c r="M13" s="3" t="n">
        <v>4.76837E-006</v>
      </c>
      <c r="N13" s="1" t="n">
        <v>0.603551</v>
      </c>
      <c r="O13" s="1"/>
      <c r="P13" s="0"/>
    </row>
    <row r="14" customFormat="false" ht="13.2" hidden="false" customHeight="false" outlineLevel="0" collapsed="false">
      <c r="B14" s="0" t="n">
        <v>49</v>
      </c>
      <c r="K14" s="1"/>
      <c r="L14" s="1" t="n">
        <v>0.0608905</v>
      </c>
      <c r="M14" s="3" t="n">
        <v>3.05176E-006</v>
      </c>
      <c r="N14" s="1" t="n">
        <v>0.578993</v>
      </c>
      <c r="O14" s="1"/>
      <c r="P14" s="0"/>
    </row>
    <row r="15" customFormat="false" ht="13.2" hidden="false" customHeight="false" outlineLevel="0" collapsed="false">
      <c r="B15" s="0" t="n">
        <v>49</v>
      </c>
      <c r="K15" s="1"/>
      <c r="L15" s="1" t="n">
        <v>0.0702978</v>
      </c>
      <c r="M15" s="3" t="n">
        <v>3.24249E-006</v>
      </c>
      <c r="N15" s="1" t="n">
        <v>0.650627</v>
      </c>
      <c r="O15" s="1"/>
      <c r="P15" s="0"/>
    </row>
    <row r="16" customFormat="false" ht="13.2" hidden="false" customHeight="false" outlineLevel="0" collapsed="false">
      <c r="B16" s="0" t="n">
        <v>48</v>
      </c>
      <c r="K16" s="1"/>
      <c r="L16" s="1" t="n">
        <v>0.0640486</v>
      </c>
      <c r="M16" s="3" t="n">
        <v>4.43459E-006</v>
      </c>
      <c r="N16" s="1" t="n">
        <v>0.65541</v>
      </c>
      <c r="O16" s="1"/>
      <c r="P16" s="0"/>
    </row>
    <row r="17" customFormat="false" ht="13.2" hidden="false" customHeight="false" outlineLevel="0" collapsed="false">
      <c r="B17" s="0" t="n">
        <v>48</v>
      </c>
      <c r="K17" s="1"/>
      <c r="L17" s="1" t="n">
        <v>0.0639284</v>
      </c>
      <c r="M17" s="3" t="n">
        <v>3.48091E-006</v>
      </c>
      <c r="N17" s="1" t="n">
        <v>0.655434</v>
      </c>
      <c r="O17" s="1"/>
      <c r="P17" s="0"/>
      <c r="Q17" s="0" t="s">
        <v>10</v>
      </c>
    </row>
    <row r="18" customFormat="false" ht="13.2" hidden="false" customHeight="false" outlineLevel="0" collapsed="false">
      <c r="B18" s="0" t="n">
        <v>46</v>
      </c>
      <c r="K18" s="1"/>
      <c r="L18" s="1" t="n">
        <v>0.0638087</v>
      </c>
      <c r="M18" s="3" t="n">
        <v>4.43459E-006</v>
      </c>
      <c r="N18" s="1" t="n">
        <v>0.556716</v>
      </c>
      <c r="O18" s="1"/>
      <c r="P18" s="0"/>
      <c r="Q18" s="0" t="n">
        <f aca="false">(O4+S4+V4)/3</f>
        <v>0.601480466666667</v>
      </c>
    </row>
    <row r="19" customFormat="false" ht="13.2" hidden="false" customHeight="false" outlineLevel="0" collapsed="false">
      <c r="B19" s="0" t="n">
        <v>45</v>
      </c>
      <c r="K19" s="1"/>
      <c r="L19" s="1" t="n">
        <v>0.0732964</v>
      </c>
      <c r="M19" s="3" t="n">
        <v>3.19481E-006</v>
      </c>
      <c r="N19" s="3" t="n">
        <v>0.563524</v>
      </c>
      <c r="O19" s="1"/>
      <c r="P19" s="0"/>
    </row>
    <row r="20" customFormat="false" ht="13.2" hidden="false" customHeight="false" outlineLevel="0" collapsed="false">
      <c r="B20" s="0" t="n">
        <v>45</v>
      </c>
      <c r="K20" s="1"/>
      <c r="L20" s="1" t="n">
        <v>0.0597003</v>
      </c>
      <c r="M20" s="3" t="n">
        <v>3.09944E-006</v>
      </c>
      <c r="N20" s="1" t="n">
        <v>0.524445</v>
      </c>
      <c r="O20" s="1"/>
      <c r="P20" s="1" t="s">
        <v>11</v>
      </c>
      <c r="Q20" s="0" t="s">
        <v>12</v>
      </c>
    </row>
    <row r="21" customFormat="false" ht="13.2" hidden="false" customHeight="false" outlineLevel="0" collapsed="false">
      <c r="B21" s="0" t="n">
        <v>45</v>
      </c>
      <c r="K21" s="1"/>
      <c r="L21" s="1" t="n">
        <v>0.0597443</v>
      </c>
      <c r="M21" s="3" t="n">
        <v>3.71933E-006</v>
      </c>
      <c r="N21" s="1" t="n">
        <v>0.596355</v>
      </c>
      <c r="O21" s="1"/>
      <c r="P21" s="8" t="s">
        <v>13</v>
      </c>
      <c r="Q21" s="0" t="n">
        <f aca="false">O43/Q18</f>
        <v>0.106089153521042</v>
      </c>
      <c r="R21" s="1" t="s">
        <v>14</v>
      </c>
      <c r="S21" s="0" t="n">
        <f aca="false">1-Q21</f>
        <v>0.893910846478958</v>
      </c>
    </row>
    <row r="22" customFormat="false" ht="13.2" hidden="false" customHeight="false" outlineLevel="0" collapsed="false">
      <c r="B22" s="0" t="n">
        <v>45</v>
      </c>
      <c r="K22" s="1"/>
      <c r="L22" s="1" t="n">
        <v>0.064155</v>
      </c>
      <c r="M22" s="3" t="n">
        <v>3.52859E-006</v>
      </c>
      <c r="N22" s="1" t="n">
        <v>0.613925</v>
      </c>
      <c r="O22" s="1"/>
      <c r="P22" s="0"/>
    </row>
    <row r="23" customFormat="false" ht="13.2" hidden="false" customHeight="false" outlineLevel="0" collapsed="false">
      <c r="A23" s="0" t="s">
        <v>15</v>
      </c>
      <c r="B23" s="0" t="n">
        <v>45</v>
      </c>
      <c r="K23" s="1"/>
      <c r="L23" s="1"/>
      <c r="M23" s="1"/>
      <c r="N23" s="1"/>
      <c r="O23" s="1"/>
      <c r="P23" s="0"/>
    </row>
    <row r="24" customFormat="false" ht="13.2" hidden="false" customHeight="false" outlineLevel="0" collapsed="false">
      <c r="B24" s="0" t="n">
        <v>45</v>
      </c>
      <c r="K24" s="1"/>
      <c r="L24" s="1" t="n">
        <v>0.0642234</v>
      </c>
      <c r="M24" s="3" t="n">
        <v>3.14713E-006</v>
      </c>
      <c r="N24" s="1" t="n">
        <v>0.592967</v>
      </c>
      <c r="O24" s="1"/>
      <c r="P24" s="0"/>
    </row>
    <row r="25" customFormat="false" ht="13.2" hidden="false" customHeight="false" outlineLevel="0" collapsed="false">
      <c r="B25" s="0" t="n">
        <v>45</v>
      </c>
      <c r="K25" s="1"/>
      <c r="L25" s="1" t="n">
        <v>0.0718272</v>
      </c>
      <c r="M25" s="3" t="n">
        <v>3.09944E-006</v>
      </c>
      <c r="N25" s="1" t="n">
        <v>0.615004</v>
      </c>
      <c r="O25" s="1"/>
      <c r="P25" s="0"/>
    </row>
    <row r="26" customFormat="false" ht="13.2" hidden="false" customHeight="false" outlineLevel="0" collapsed="false">
      <c r="B26" s="0" t="n">
        <v>45</v>
      </c>
      <c r="K26" s="1"/>
      <c r="L26" s="1" t="n">
        <v>0.0643559</v>
      </c>
      <c r="M26" s="3" t="n">
        <v>4.19617E-006</v>
      </c>
      <c r="N26" s="1" t="n">
        <v>0.529991</v>
      </c>
      <c r="O26" s="1"/>
      <c r="P26" s="0"/>
      <c r="Q26" s="1" t="n">
        <v>0.00641</v>
      </c>
    </row>
    <row r="27" customFormat="false" ht="13.2" hidden="false" customHeight="false" outlineLevel="0" collapsed="false">
      <c r="B27" s="0" t="n">
        <v>45</v>
      </c>
      <c r="K27" s="1"/>
      <c r="L27" s="1" t="n">
        <v>0.0599829</v>
      </c>
      <c r="M27" s="3" t="n">
        <v>3.29018E-006</v>
      </c>
      <c r="N27" s="1" t="n">
        <v>0.524648</v>
      </c>
      <c r="O27" s="1"/>
      <c r="P27" s="0"/>
    </row>
    <row r="28" customFormat="false" ht="13.2" hidden="false" customHeight="false" outlineLevel="0" collapsed="false">
      <c r="B28" s="0" t="n">
        <v>45</v>
      </c>
      <c r="K28" s="1"/>
      <c r="L28" s="1" t="n">
        <v>0.0596794</v>
      </c>
      <c r="M28" s="3" t="n">
        <v>3.86238E-006</v>
      </c>
      <c r="N28" s="1" t="n">
        <v>0.585326</v>
      </c>
      <c r="O28" s="1"/>
      <c r="P28" s="0"/>
    </row>
    <row r="29" customFormat="false" ht="13.2" hidden="false" customHeight="false" outlineLevel="0" collapsed="false">
      <c r="B29" s="0" t="n">
        <v>47</v>
      </c>
      <c r="K29" s="1"/>
      <c r="L29" s="1" t="n">
        <v>0.064665</v>
      </c>
      <c r="M29" s="3" t="n">
        <v>3.24249E-006</v>
      </c>
      <c r="N29" s="1" t="n">
        <v>0.595563</v>
      </c>
      <c r="O29" s="1"/>
      <c r="P29" s="0"/>
    </row>
    <row r="30" customFormat="false" ht="13.2" hidden="false" customHeight="false" outlineLevel="0" collapsed="false">
      <c r="B30" s="0" t="n">
        <v>48</v>
      </c>
      <c r="K30" s="1"/>
      <c r="L30" s="1" t="n">
        <v>0.0598188</v>
      </c>
      <c r="M30" s="3" t="n">
        <v>3.14713E-006</v>
      </c>
      <c r="N30" s="1" t="n">
        <v>0.561504</v>
      </c>
      <c r="O30" s="1"/>
      <c r="P30" s="0"/>
    </row>
    <row r="31" customFormat="false" ht="13.2" hidden="false" customHeight="false" outlineLevel="0" collapsed="false">
      <c r="B31" s="0" t="n">
        <v>48</v>
      </c>
      <c r="K31" s="1"/>
      <c r="L31" s="1" t="n">
        <v>0.0597462</v>
      </c>
      <c r="M31" s="3" t="n">
        <v>3.24249E-006</v>
      </c>
      <c r="N31" s="1" t="n">
        <v>0.559458</v>
      </c>
      <c r="O31" s="1"/>
      <c r="P31" s="0"/>
    </row>
    <row r="32" customFormat="false" ht="13.2" hidden="false" customHeight="false" outlineLevel="0" collapsed="false">
      <c r="B32" s="0" t="n">
        <v>48</v>
      </c>
      <c r="J32" s="1"/>
      <c r="K32" s="1"/>
      <c r="L32" s="1" t="n">
        <v>0.059704</v>
      </c>
      <c r="M32" s="3" t="n">
        <v>3.19481E-006</v>
      </c>
      <c r="N32" s="1" t="n">
        <v>0.655675</v>
      </c>
      <c r="O32" s="1"/>
      <c r="P32" s="0"/>
    </row>
    <row r="33" customFormat="false" ht="13.2" hidden="false" customHeight="false" outlineLevel="0" collapsed="false">
      <c r="B33" s="0" t="n">
        <v>48</v>
      </c>
      <c r="J33" s="1"/>
      <c r="K33" s="1"/>
      <c r="L33" s="1" t="n">
        <v>0.0647607</v>
      </c>
      <c r="M33" s="3" t="n">
        <v>3.29018E-006</v>
      </c>
      <c r="N33" s="1" t="n">
        <v>0.684363</v>
      </c>
      <c r="O33" s="1"/>
      <c r="P33" s="0"/>
    </row>
    <row r="34" customFormat="false" ht="13.2" hidden="false" customHeight="false" outlineLevel="0" collapsed="false">
      <c r="B34" s="0" t="n">
        <v>48</v>
      </c>
      <c r="J34" s="1"/>
      <c r="K34" s="1"/>
      <c r="L34" s="1" t="n">
        <v>0.0652577</v>
      </c>
      <c r="M34" s="3" t="n">
        <v>4.00543E-006</v>
      </c>
      <c r="N34" s="1" t="n">
        <v>0.627765</v>
      </c>
      <c r="O34" s="1"/>
      <c r="P34" s="0"/>
    </row>
    <row r="35" customFormat="false" ht="13.2" hidden="false" customHeight="false" outlineLevel="0" collapsed="false">
      <c r="B35" s="0" t="n">
        <v>48</v>
      </c>
      <c r="J35" s="1"/>
      <c r="K35" s="1"/>
      <c r="L35" s="1" t="n">
        <v>0.0619205</v>
      </c>
      <c r="M35" s="3" t="n">
        <v>3.62396E-006</v>
      </c>
      <c r="N35" s="1" t="n">
        <v>0.621716</v>
      </c>
      <c r="O35" s="1"/>
      <c r="P35" s="0"/>
    </row>
    <row r="36" customFormat="false" ht="13.2" hidden="false" customHeight="false" outlineLevel="0" collapsed="false">
      <c r="B36" s="0" t="n">
        <v>48</v>
      </c>
      <c r="J36" s="1"/>
      <c r="K36" s="1"/>
      <c r="L36" s="1" t="n">
        <v>0.0657087</v>
      </c>
      <c r="M36" s="3" t="n">
        <v>4.1008E-006</v>
      </c>
      <c r="N36" s="1" t="n">
        <v>0.660278</v>
      </c>
      <c r="O36" s="1"/>
      <c r="P36" s="0"/>
    </row>
    <row r="37" customFormat="false" ht="13.2" hidden="false" customHeight="false" outlineLevel="0" collapsed="false">
      <c r="B37" s="0" t="n">
        <v>47</v>
      </c>
      <c r="J37" s="1"/>
      <c r="K37" s="1"/>
      <c r="L37" s="1" t="n">
        <v>0.066062</v>
      </c>
      <c r="M37" s="3" t="n">
        <v>4.43459E-006</v>
      </c>
      <c r="N37" s="1" t="n">
        <v>0.651145</v>
      </c>
      <c r="O37" s="1"/>
      <c r="P37" s="0"/>
    </row>
    <row r="38" customFormat="false" ht="15" hidden="false" customHeight="false" outlineLevel="0" collapsed="false">
      <c r="B38" s="0" t="n">
        <v>45</v>
      </c>
      <c r="E38" s="9"/>
      <c r="J38" s="1"/>
      <c r="K38" s="1"/>
      <c r="L38" s="1" t="n">
        <v>0.0610544</v>
      </c>
      <c r="M38" s="3" t="n">
        <v>3.33786E-006</v>
      </c>
      <c r="N38" s="1" t="n">
        <v>0.619833</v>
      </c>
      <c r="O38" s="1"/>
      <c r="P38" s="0"/>
    </row>
    <row r="39" customFormat="false" ht="13.2" hidden="false" customHeight="false" outlineLevel="0" collapsed="false">
      <c r="B39" s="0" t="n">
        <v>45</v>
      </c>
      <c r="J39" s="1"/>
      <c r="K39" s="1"/>
      <c r="L39" s="1" t="n">
        <v>0.0656774</v>
      </c>
      <c r="M39" s="3" t="n">
        <v>6.86646E-006</v>
      </c>
      <c r="N39" s="1" t="n">
        <v>0.618382</v>
      </c>
      <c r="O39" s="1"/>
      <c r="P39" s="0"/>
    </row>
    <row r="40" customFormat="false" ht="13.2" hidden="false" customHeight="false" outlineLevel="0" collapsed="false">
      <c r="B40" s="0" t="n">
        <v>45</v>
      </c>
      <c r="J40" s="1"/>
      <c r="K40" s="1"/>
      <c r="L40" s="1" t="n">
        <v>0.0652403</v>
      </c>
      <c r="M40" s="3" t="n">
        <v>5.76973E-006</v>
      </c>
      <c r="N40" s="1" t="n">
        <v>0.578053</v>
      </c>
      <c r="O40" s="1"/>
      <c r="P40" s="0"/>
    </row>
    <row r="41" customFormat="false" ht="15" hidden="false" customHeight="false" outlineLevel="0" collapsed="false">
      <c r="B41" s="0" t="n">
        <v>45</v>
      </c>
      <c r="E41" s="9"/>
      <c r="J41" s="1"/>
      <c r="K41" s="1"/>
      <c r="L41" s="1" t="n">
        <v>0.0619133</v>
      </c>
      <c r="M41" s="3" t="n">
        <v>4.673E-006</v>
      </c>
      <c r="N41" s="1" t="n">
        <v>0.621105</v>
      </c>
      <c r="O41" s="1"/>
      <c r="P41" s="0"/>
    </row>
    <row r="42" customFormat="false" ht="13.2" hidden="false" customHeight="false" outlineLevel="0" collapsed="false">
      <c r="B42" s="0" t="n">
        <v>45</v>
      </c>
      <c r="J42" s="1"/>
      <c r="K42" s="1"/>
      <c r="L42" s="1" t="n">
        <v>0.0651429</v>
      </c>
      <c r="M42" s="3" t="n">
        <v>3.91006E-006</v>
      </c>
      <c r="N42" s="1" t="n">
        <v>0.623766</v>
      </c>
      <c r="O42" s="1"/>
      <c r="P42" s="0"/>
    </row>
    <row r="43" customFormat="false" ht="13.2" hidden="false" customHeight="false" outlineLevel="0" collapsed="false">
      <c r="A43" s="1" t="s">
        <v>16</v>
      </c>
      <c r="B43" s="0" t="n">
        <f aca="false">AVERAGE(B4:B42)</f>
        <v>46.5128205128205</v>
      </c>
      <c r="J43" s="1"/>
      <c r="K43" s="1" t="s">
        <v>16</v>
      </c>
      <c r="L43" s="1" t="n">
        <f aca="false">AVERAGE(L5:L42)</f>
        <v>0.0638053135135135</v>
      </c>
      <c r="M43" s="3" t="n">
        <f aca="false">AVERAGE(M5:M42)</f>
        <v>5.24005459459459E-006</v>
      </c>
      <c r="N43" s="2" t="n">
        <f aca="false">AVERAGE(N4,N42)</f>
        <v>0.626919</v>
      </c>
      <c r="O43" s="2" t="n">
        <f aca="false">SUM(L43,M43)</f>
        <v>0.0638105535681081</v>
      </c>
      <c r="P43" s="0"/>
    </row>
    <row r="44" customFormat="false" ht="13.2" hidden="false" customHeight="false" outlineLevel="0" collapsed="false">
      <c r="J44" s="1"/>
      <c r="K44" s="1" t="s">
        <v>17</v>
      </c>
      <c r="L44" s="1"/>
      <c r="M44" s="1"/>
      <c r="N44" s="2" t="n">
        <f aca="false">N43/N4</f>
        <v>0.994995810002667</v>
      </c>
      <c r="O44" s="2" t="n">
        <f aca="false">O43/O4</f>
        <v>0.10917039358846</v>
      </c>
      <c r="P44" s="0"/>
    </row>
    <row r="45" customFormat="false" ht="13.2" hidden="false" customHeight="false" outlineLevel="0" collapsed="false">
      <c r="M45" s="1" t="s">
        <v>18</v>
      </c>
      <c r="N45" s="10" t="n">
        <f aca="false">1-N44</f>
        <v>0.00500418999733354</v>
      </c>
      <c r="O45" s="10" t="n">
        <f aca="false">1-O44</f>
        <v>0.89082960641154</v>
      </c>
      <c r="P45" s="0"/>
    </row>
    <row r="47" customFormat="false" ht="13.2" hidden="false" customHeight="false" outlineLevel="0" collapsed="false">
      <c r="A47" s="0" t="s">
        <v>19</v>
      </c>
      <c r="K47" s="1"/>
      <c r="L47" s="1" t="s">
        <v>3</v>
      </c>
      <c r="M47" s="1" t="s">
        <v>4</v>
      </c>
      <c r="N47" s="2" t="s">
        <v>5</v>
      </c>
      <c r="O47" s="2" t="s">
        <v>6</v>
      </c>
      <c r="P47" s="0"/>
    </row>
    <row r="48" customFormat="false" ht="13.2" hidden="false" customHeight="false" outlineLevel="0" collapsed="false">
      <c r="A48" s="0" t="s">
        <v>7</v>
      </c>
      <c r="B48" s="0" t="n">
        <v>45</v>
      </c>
      <c r="K48" s="1"/>
      <c r="L48" s="1" t="n">
        <v>0.0884005</v>
      </c>
      <c r="M48" s="1" t="n">
        <v>0.558922</v>
      </c>
      <c r="N48" s="2" t="n">
        <v>0.58491</v>
      </c>
      <c r="O48" s="2" t="n">
        <f aca="false">SUM(L48,M48)</f>
        <v>0.6473225</v>
      </c>
      <c r="P48" s="0"/>
    </row>
    <row r="49" customFormat="false" ht="13.2" hidden="false" customHeight="false" outlineLevel="0" collapsed="false">
      <c r="B49" s="0" t="n">
        <v>45</v>
      </c>
      <c r="K49" s="1"/>
      <c r="L49" s="1" t="n">
        <v>0.0590285</v>
      </c>
      <c r="M49" s="1" t="n">
        <v>0.347001</v>
      </c>
      <c r="N49" s="1" t="n">
        <v>0.542029</v>
      </c>
      <c r="O49" s="1"/>
      <c r="P49" s="0"/>
    </row>
    <row r="50" customFormat="false" ht="13.2" hidden="false" customHeight="false" outlineLevel="0" collapsed="false">
      <c r="B50" s="0" t="n">
        <v>45</v>
      </c>
      <c r="K50" s="1"/>
      <c r="L50" s="1" t="n">
        <v>0.0654685</v>
      </c>
      <c r="M50" s="1" t="n">
        <v>0.366814</v>
      </c>
      <c r="N50" s="1" t="n">
        <v>0.5871</v>
      </c>
      <c r="O50" s="1"/>
      <c r="P50" s="0"/>
    </row>
    <row r="51" customFormat="false" ht="13.2" hidden="false" customHeight="false" outlineLevel="0" collapsed="false">
      <c r="B51" s="0" t="n">
        <v>45</v>
      </c>
      <c r="K51" s="1"/>
      <c r="L51" s="1" t="n">
        <v>0.0627158</v>
      </c>
      <c r="M51" s="1" t="n">
        <v>0.343818</v>
      </c>
      <c r="N51" s="1" t="n">
        <v>0.599621</v>
      </c>
      <c r="O51" s="1"/>
      <c r="P51" s="0"/>
    </row>
    <row r="52" customFormat="false" ht="13.2" hidden="false" customHeight="false" outlineLevel="0" collapsed="false">
      <c r="B52" s="0" t="n">
        <v>46</v>
      </c>
      <c r="K52" s="1"/>
      <c r="L52" s="1" t="n">
        <v>0.0619776</v>
      </c>
      <c r="M52" s="1" t="n">
        <v>0.344411</v>
      </c>
      <c r="N52" s="1" t="n">
        <v>0.611544</v>
      </c>
      <c r="O52" s="1"/>
      <c r="P52" s="0"/>
    </row>
    <row r="53" customFormat="false" ht="13.2" hidden="false" customHeight="false" outlineLevel="0" collapsed="false">
      <c r="B53" s="0" t="n">
        <v>47</v>
      </c>
      <c r="K53" s="1"/>
      <c r="L53" s="1" t="n">
        <v>0.0620657</v>
      </c>
      <c r="M53" s="1" t="n">
        <v>0.363133</v>
      </c>
      <c r="N53" s="1" t="n">
        <v>0.576816</v>
      </c>
      <c r="O53" s="1"/>
      <c r="P53" s="0"/>
    </row>
    <row r="54" customFormat="false" ht="13.2" hidden="false" customHeight="false" outlineLevel="0" collapsed="false">
      <c r="B54" s="0" t="n">
        <v>48</v>
      </c>
      <c r="K54" s="1"/>
      <c r="L54" s="1" t="n">
        <v>0.0586087</v>
      </c>
      <c r="M54" s="1" t="n">
        <v>0.307636</v>
      </c>
      <c r="N54" s="1" t="n">
        <v>0.604462</v>
      </c>
      <c r="O54" s="1"/>
      <c r="P54" s="0"/>
    </row>
    <row r="55" customFormat="false" ht="13.2" hidden="false" customHeight="false" outlineLevel="0" collapsed="false">
      <c r="B55" s="0" t="n">
        <v>48</v>
      </c>
      <c r="K55" s="1"/>
      <c r="L55" s="1" t="n">
        <v>0.060788</v>
      </c>
      <c r="M55" s="1" t="n">
        <v>0.304464</v>
      </c>
      <c r="N55" s="1" t="n">
        <v>0.645215</v>
      </c>
      <c r="O55" s="1"/>
      <c r="P55" s="0"/>
    </row>
    <row r="56" customFormat="false" ht="13.2" hidden="false" customHeight="false" outlineLevel="0" collapsed="false">
      <c r="B56" s="0" t="n">
        <v>49</v>
      </c>
      <c r="K56" s="1"/>
      <c r="L56" s="4" t="n">
        <v>0.062432</v>
      </c>
      <c r="M56" s="4" t="n">
        <v>0.351738</v>
      </c>
      <c r="N56" s="4" t="n">
        <v>0.652765</v>
      </c>
      <c r="O56" s="0" t="n">
        <f aca="false">L56+M56</f>
        <v>0.41417</v>
      </c>
      <c r="P56" s="1" t="s">
        <v>8</v>
      </c>
      <c r="Q56" s="7" t="s">
        <v>9</v>
      </c>
    </row>
    <row r="57" customFormat="false" ht="13.2" hidden="false" customHeight="false" outlineLevel="0" collapsed="false">
      <c r="B57" s="0" t="n">
        <v>49</v>
      </c>
      <c r="K57" s="1"/>
      <c r="L57" s="1" t="n">
        <v>0.0622075</v>
      </c>
      <c r="M57" s="1" t="n">
        <v>0.372735</v>
      </c>
      <c r="N57" s="1" t="n">
        <v>0.625597</v>
      </c>
      <c r="O57" s="1"/>
      <c r="P57" s="0"/>
    </row>
    <row r="58" customFormat="false" ht="13.2" hidden="false" customHeight="false" outlineLevel="0" collapsed="false">
      <c r="B58" s="0" t="n">
        <v>49</v>
      </c>
      <c r="K58" s="1"/>
      <c r="L58" s="1" t="n">
        <v>0.0653008</v>
      </c>
      <c r="M58" s="1" t="n">
        <v>0.34502</v>
      </c>
      <c r="N58" s="1" t="n">
        <v>0.59525</v>
      </c>
      <c r="O58" s="1"/>
      <c r="P58" s="8"/>
    </row>
    <row r="59" customFormat="false" ht="13.2" hidden="false" customHeight="false" outlineLevel="0" collapsed="false">
      <c r="B59" s="0" t="n">
        <v>48</v>
      </c>
      <c r="K59" s="1"/>
      <c r="L59" s="1" t="n">
        <v>0.0584727</v>
      </c>
      <c r="M59" s="1" t="n">
        <v>0.306469</v>
      </c>
      <c r="N59" s="1" t="n">
        <v>0.625921</v>
      </c>
      <c r="O59" s="1"/>
      <c r="P59" s="0"/>
    </row>
    <row r="60" customFormat="false" ht="13.2" hidden="false" customHeight="false" outlineLevel="0" collapsed="false">
      <c r="B60" s="0" t="n">
        <v>48</v>
      </c>
      <c r="K60" s="1"/>
      <c r="L60" s="1" t="n">
        <v>0.0620869</v>
      </c>
      <c r="M60" s="1" t="n">
        <v>0.374366</v>
      </c>
      <c r="N60" s="1" t="n">
        <v>0.65603</v>
      </c>
      <c r="O60" s="1"/>
      <c r="P60" s="0"/>
    </row>
    <row r="61" customFormat="false" ht="13.2" hidden="false" customHeight="false" outlineLevel="0" collapsed="false">
      <c r="B61" s="0" t="n">
        <v>47</v>
      </c>
      <c r="K61" s="1"/>
      <c r="L61" s="1" t="n">
        <v>0.0721365</v>
      </c>
      <c r="M61" s="1" t="n">
        <v>0.376208</v>
      </c>
      <c r="N61" s="1" t="n">
        <v>0.64527</v>
      </c>
      <c r="O61" s="1"/>
      <c r="P61" s="0"/>
    </row>
    <row r="62" customFormat="false" ht="13.2" hidden="false" customHeight="false" outlineLevel="0" collapsed="false">
      <c r="B62" s="0" t="n">
        <v>46</v>
      </c>
      <c r="K62" s="1"/>
      <c r="L62" s="1" t="n">
        <v>0.0660545</v>
      </c>
      <c r="M62" s="1" t="n">
        <v>0.372834</v>
      </c>
      <c r="N62" s="1" t="n">
        <v>0.61617</v>
      </c>
      <c r="O62" s="1"/>
      <c r="P62" s="0"/>
    </row>
    <row r="63" customFormat="false" ht="13.2" hidden="false" customHeight="false" outlineLevel="0" collapsed="false">
      <c r="B63" s="0" t="n">
        <v>45</v>
      </c>
      <c r="K63" s="1"/>
      <c r="L63" s="1" t="n">
        <v>0.0630368</v>
      </c>
      <c r="M63" s="1" t="n">
        <v>0.37041</v>
      </c>
      <c r="N63" s="1" t="n">
        <v>0.622665</v>
      </c>
      <c r="O63" s="1"/>
      <c r="P63" s="0"/>
    </row>
    <row r="64" customFormat="false" ht="13.2" hidden="false" customHeight="false" outlineLevel="0" collapsed="false">
      <c r="B64" s="0" t="n">
        <v>45</v>
      </c>
      <c r="K64" s="1"/>
      <c r="L64" s="1" t="n">
        <v>0.0635122</v>
      </c>
      <c r="M64" s="1" t="n">
        <v>0.339884</v>
      </c>
      <c r="N64" s="1" t="n">
        <v>0.563009</v>
      </c>
      <c r="O64" s="1"/>
      <c r="P64" s="0"/>
    </row>
    <row r="65" customFormat="false" ht="13.2" hidden="false" customHeight="false" outlineLevel="0" collapsed="false">
      <c r="B65" s="0" t="n">
        <v>45</v>
      </c>
      <c r="K65" s="1"/>
      <c r="L65" s="1" t="n">
        <v>0.0630519</v>
      </c>
      <c r="M65" s="1" t="n">
        <v>0.323157</v>
      </c>
      <c r="N65" s="1" t="n">
        <v>0.577242</v>
      </c>
      <c r="O65" s="1"/>
      <c r="P65" s="0"/>
    </row>
    <row r="66" customFormat="false" ht="13.2" hidden="false" customHeight="false" outlineLevel="0" collapsed="false">
      <c r="B66" s="0" t="n">
        <v>45</v>
      </c>
      <c r="K66" s="1"/>
      <c r="L66" s="1" t="n">
        <v>0.0619831</v>
      </c>
      <c r="M66" s="1" t="n">
        <v>0.310363</v>
      </c>
      <c r="N66" s="1" t="n">
        <v>0.587685</v>
      </c>
      <c r="O66" s="1"/>
      <c r="P66" s="0"/>
    </row>
    <row r="67" customFormat="false" ht="13.2" hidden="false" customHeight="false" outlineLevel="0" collapsed="false">
      <c r="A67" s="0" t="s">
        <v>15</v>
      </c>
      <c r="B67" s="0" t="n">
        <v>45</v>
      </c>
      <c r="K67" s="1"/>
      <c r="L67" s="1"/>
      <c r="M67" s="1"/>
      <c r="N67" s="2"/>
      <c r="O67" s="2"/>
      <c r="P67" s="0"/>
    </row>
    <row r="68" customFormat="false" ht="13.2" hidden="false" customHeight="false" outlineLevel="0" collapsed="false">
      <c r="B68" s="0" t="n">
        <v>45</v>
      </c>
      <c r="K68" s="1"/>
      <c r="L68" s="1" t="n">
        <v>0.0620002</v>
      </c>
      <c r="M68" s="1" t="n">
        <v>0.343335</v>
      </c>
      <c r="N68" s="1" t="n">
        <v>0.585428</v>
      </c>
      <c r="O68" s="1"/>
      <c r="P68" s="0"/>
    </row>
    <row r="69" customFormat="false" ht="13.2" hidden="false" customHeight="false" outlineLevel="0" collapsed="false">
      <c r="B69" s="0" t="n">
        <v>45</v>
      </c>
      <c r="K69" s="1"/>
      <c r="L69" s="1" t="n">
        <v>0.0618496</v>
      </c>
      <c r="M69" s="1" t="n">
        <v>0.344314</v>
      </c>
      <c r="N69" s="1" t="n">
        <v>0.596226</v>
      </c>
      <c r="O69" s="1"/>
      <c r="P69" s="0"/>
    </row>
    <row r="70" customFormat="false" ht="13.2" hidden="false" customHeight="false" outlineLevel="0" collapsed="false">
      <c r="B70" s="0" t="n">
        <v>45</v>
      </c>
      <c r="K70" s="1"/>
      <c r="L70" s="1" t="n">
        <v>0.0617339</v>
      </c>
      <c r="M70" s="1" t="n">
        <v>0.342106</v>
      </c>
      <c r="N70" s="1" t="n">
        <v>0.549574</v>
      </c>
      <c r="O70" s="1"/>
      <c r="P70" s="0"/>
    </row>
    <row r="71" customFormat="false" ht="13.2" hidden="false" customHeight="false" outlineLevel="0" collapsed="false">
      <c r="B71" s="0" t="n">
        <v>45</v>
      </c>
      <c r="K71" s="1"/>
      <c r="L71" s="1" t="n">
        <v>0.0587975</v>
      </c>
      <c r="M71" s="1" t="n">
        <v>0.309147</v>
      </c>
      <c r="N71" s="1" t="n">
        <v>0.533678</v>
      </c>
      <c r="O71" s="1"/>
      <c r="P71" s="0"/>
    </row>
    <row r="72" customFormat="false" ht="13.2" hidden="false" customHeight="false" outlineLevel="0" collapsed="false">
      <c r="B72" s="0" t="n">
        <v>45</v>
      </c>
      <c r="K72" s="1"/>
      <c r="L72" s="1" t="n">
        <v>0.0590983</v>
      </c>
      <c r="M72" s="1" t="n">
        <v>0.369832</v>
      </c>
      <c r="N72" s="1" t="n">
        <v>0.557238</v>
      </c>
      <c r="O72" s="1"/>
      <c r="P72" s="0"/>
    </row>
    <row r="73" customFormat="false" ht="13.2" hidden="false" customHeight="false" outlineLevel="0" collapsed="false">
      <c r="B73" s="0" t="n">
        <v>46</v>
      </c>
      <c r="K73" s="1"/>
      <c r="L73" s="1" t="n">
        <v>0.0620493</v>
      </c>
      <c r="M73" s="1" t="n">
        <v>0.34354</v>
      </c>
      <c r="N73" s="1" t="n">
        <v>0.548913</v>
      </c>
      <c r="O73" s="1"/>
      <c r="P73" s="0"/>
    </row>
    <row r="74" customFormat="false" ht="13.2" hidden="false" customHeight="false" outlineLevel="0" collapsed="false">
      <c r="B74" s="0" t="n">
        <v>47</v>
      </c>
      <c r="K74" s="1"/>
      <c r="L74" s="1" t="n">
        <v>0.0591148</v>
      </c>
      <c r="M74" s="1" t="n">
        <v>0.362496</v>
      </c>
      <c r="N74" s="1" t="n">
        <v>0.571572</v>
      </c>
      <c r="O74" s="1"/>
      <c r="P74" s="0"/>
    </row>
    <row r="75" customFormat="false" ht="13.2" hidden="false" customHeight="false" outlineLevel="0" collapsed="false">
      <c r="B75" s="0" t="n">
        <v>48</v>
      </c>
      <c r="K75" s="1"/>
      <c r="L75" s="1" t="n">
        <v>0.0623168</v>
      </c>
      <c r="M75" s="1" t="n">
        <v>0.362275</v>
      </c>
      <c r="N75" s="1" t="n">
        <v>0.635269</v>
      </c>
      <c r="O75" s="1"/>
      <c r="P75" s="0"/>
    </row>
    <row r="76" customFormat="false" ht="13.2" hidden="false" customHeight="false" outlineLevel="0" collapsed="false">
      <c r="B76" s="0" t="n">
        <v>48</v>
      </c>
      <c r="K76" s="1"/>
      <c r="L76" s="1" t="n">
        <v>0.0622591</v>
      </c>
      <c r="M76" s="1" t="n">
        <v>0.393903</v>
      </c>
      <c r="N76" s="1" t="n">
        <v>0.600555</v>
      </c>
      <c r="O76" s="1"/>
      <c r="P76" s="0"/>
    </row>
    <row r="77" customFormat="false" ht="13.2" hidden="false" customHeight="false" outlineLevel="0" collapsed="false">
      <c r="B77" s="0" t="n">
        <v>48</v>
      </c>
      <c r="K77" s="1"/>
      <c r="L77" s="1" t="n">
        <v>0.0590851</v>
      </c>
      <c r="M77" s="1" t="n">
        <v>0.34715</v>
      </c>
      <c r="N77" s="1" t="n">
        <v>0.590271</v>
      </c>
      <c r="O77" s="1"/>
      <c r="P77" s="7" t="s">
        <v>20</v>
      </c>
    </row>
    <row r="78" customFormat="false" ht="13.2" hidden="false" customHeight="false" outlineLevel="0" collapsed="false">
      <c r="B78" s="0" t="n">
        <v>48</v>
      </c>
      <c r="K78" s="1"/>
      <c r="L78" s="1" t="n">
        <v>0.0755809</v>
      </c>
      <c r="M78" s="1" t="n">
        <v>0.339042</v>
      </c>
      <c r="N78" s="1" t="n">
        <v>0.640655</v>
      </c>
      <c r="O78" s="1"/>
      <c r="P78" s="1" t="n">
        <v>0.60148047</v>
      </c>
    </row>
    <row r="79" customFormat="false" ht="13.2" hidden="false" customHeight="false" outlineLevel="0" collapsed="false">
      <c r="B79" s="0" t="n">
        <v>48</v>
      </c>
      <c r="K79" s="1"/>
      <c r="L79" s="1" t="n">
        <v>0.0622909</v>
      </c>
      <c r="M79" s="1" t="n">
        <v>0.37584</v>
      </c>
      <c r="N79" s="1" t="n">
        <v>0.615565</v>
      </c>
      <c r="O79" s="1"/>
      <c r="P79" s="0"/>
    </row>
    <row r="80" customFormat="false" ht="13.2" hidden="false" customHeight="false" outlineLevel="0" collapsed="false">
      <c r="B80" s="0" t="n">
        <v>47</v>
      </c>
      <c r="K80" s="1"/>
      <c r="L80" s="1" t="n">
        <v>0.0627751</v>
      </c>
      <c r="M80" s="1" t="n">
        <v>0.341341</v>
      </c>
      <c r="N80" s="1" t="n">
        <v>0.588361</v>
      </c>
      <c r="O80" s="1"/>
      <c r="P80" s="0"/>
    </row>
    <row r="81" customFormat="false" ht="13.2" hidden="false" customHeight="false" outlineLevel="0" collapsed="false">
      <c r="B81" s="0" t="n">
        <v>46</v>
      </c>
      <c r="K81" s="1"/>
      <c r="L81" s="1" t="n">
        <v>0.0614186</v>
      </c>
      <c r="M81" s="1" t="n">
        <v>0.312745</v>
      </c>
      <c r="N81" s="1" t="n">
        <v>0.609858</v>
      </c>
      <c r="O81" s="1"/>
      <c r="P81" s="1" t="s">
        <v>11</v>
      </c>
      <c r="Q81" s="0" t="s">
        <v>21</v>
      </c>
    </row>
    <row r="82" customFormat="false" ht="13.2" hidden="false" customHeight="false" outlineLevel="0" collapsed="false">
      <c r="B82" s="0" t="n">
        <v>45</v>
      </c>
      <c r="K82" s="1"/>
      <c r="L82" s="1" t="n">
        <v>0.0647242</v>
      </c>
      <c r="M82" s="1" t="n">
        <v>0.343488</v>
      </c>
      <c r="N82" s="1" t="n">
        <v>0.551449</v>
      </c>
      <c r="O82" s="1"/>
      <c r="P82" s="8" t="s">
        <v>13</v>
      </c>
      <c r="Q82" s="0" t="n">
        <f aca="false">O87/P78</f>
        <v>0.67867906002002</v>
      </c>
      <c r="R82" s="1" t="s">
        <v>14</v>
      </c>
      <c r="S82" s="0" t="n">
        <f aca="false">1-Q82</f>
        <v>0.32132093997998</v>
      </c>
    </row>
    <row r="83" customFormat="false" ht="13.2" hidden="false" customHeight="false" outlineLevel="0" collapsed="false">
      <c r="B83" s="0" t="n">
        <v>45</v>
      </c>
      <c r="K83" s="1"/>
      <c r="L83" s="1" t="n">
        <v>0.061102</v>
      </c>
      <c r="M83" s="1" t="n">
        <v>0.314438</v>
      </c>
      <c r="N83" s="1" t="n">
        <v>0.546262</v>
      </c>
      <c r="O83" s="1"/>
    </row>
    <row r="84" customFormat="false" ht="13.2" hidden="false" customHeight="false" outlineLevel="0" collapsed="false">
      <c r="B84" s="0" t="n">
        <v>45</v>
      </c>
      <c r="K84" s="1"/>
      <c r="L84" s="1" t="n">
        <v>0.0609987</v>
      </c>
      <c r="M84" s="1" t="n">
        <v>0.311265</v>
      </c>
      <c r="N84" s="1" t="n">
        <v>0.590106</v>
      </c>
      <c r="O84" s="1"/>
    </row>
    <row r="85" customFormat="false" ht="13.2" hidden="false" customHeight="false" outlineLevel="0" collapsed="false">
      <c r="B85" s="0" t="n">
        <v>45</v>
      </c>
      <c r="K85" s="1"/>
      <c r="L85" s="1" t="n">
        <v>0.0647578</v>
      </c>
      <c r="M85" s="1" t="n">
        <v>0.34199</v>
      </c>
      <c r="N85" s="1" t="n">
        <v>0.612936</v>
      </c>
      <c r="O85" s="1"/>
    </row>
    <row r="86" customFormat="false" ht="13.2" hidden="false" customHeight="false" outlineLevel="0" collapsed="false">
      <c r="B86" s="0" t="n">
        <v>45</v>
      </c>
      <c r="K86" s="1"/>
      <c r="L86" s="1" t="n">
        <v>0.066799</v>
      </c>
      <c r="M86" s="1" t="n">
        <v>0.342349</v>
      </c>
      <c r="N86" s="1" t="n">
        <v>0.545359</v>
      </c>
      <c r="O86" s="1"/>
    </row>
    <row r="87" customFormat="false" ht="13.2" hidden="false" customHeight="false" outlineLevel="0" collapsed="false">
      <c r="A87" s="1" t="s">
        <v>16</v>
      </c>
      <c r="B87" s="0" t="n">
        <f aca="false">AVERAGE(B48:B86)</f>
        <v>46.3076923076923</v>
      </c>
      <c r="K87" s="1" t="s">
        <v>16</v>
      </c>
      <c r="L87" s="1" t="n">
        <f aca="false">AVERAGE(L49:L86)</f>
        <v>0.0626940405405406</v>
      </c>
      <c r="M87" s="1" t="n">
        <f aca="false">AVERAGE(M48:M86)</f>
        <v>0.350525763157895</v>
      </c>
      <c r="N87" s="2" t="n">
        <f aca="false">AVERAGE(N48:N86)</f>
        <v>0.594436210526316</v>
      </c>
      <c r="O87" s="2" t="n">
        <f aca="false">SUM(L82,M82)</f>
        <v>0.4082122</v>
      </c>
    </row>
    <row r="88" customFormat="false" ht="13.2" hidden="false" customHeight="false" outlineLevel="0" collapsed="false">
      <c r="K88" s="1" t="s">
        <v>17</v>
      </c>
      <c r="L88" s="1"/>
      <c r="M88" s="1"/>
      <c r="N88" s="2" t="n">
        <f aca="false">N87/N48</f>
        <v>1.0162866261926</v>
      </c>
      <c r="O88" s="2" t="n">
        <f aca="false">O87/O48</f>
        <v>0.630616423807299</v>
      </c>
    </row>
    <row r="89" customFormat="false" ht="13.2" hidden="false" customHeight="false" outlineLevel="0" collapsed="false">
      <c r="K89" s="1"/>
      <c r="L89" s="1"/>
      <c r="M89" s="1" t="s">
        <v>18</v>
      </c>
      <c r="N89" s="1" t="n">
        <f aca="false">1-N88</f>
        <v>-0.0162866261926036</v>
      </c>
      <c r="O89" s="1" t="n">
        <f aca="false">1-O88</f>
        <v>0.369383576192702</v>
      </c>
    </row>
    <row r="90" customFormat="false" ht="13.2" hidden="false" customHeight="false" outlineLevel="0" collapsed="false">
      <c r="K90" s="1"/>
      <c r="L90" s="1"/>
      <c r="M90" s="1"/>
      <c r="N90" s="2" t="s">
        <v>5</v>
      </c>
      <c r="O90" s="2" t="s">
        <v>6</v>
      </c>
    </row>
    <row r="91" customFormat="false" ht="13.2" hidden="false" customHeight="false" outlineLevel="0" collapsed="false">
      <c r="K91" s="1"/>
      <c r="L91" s="1"/>
      <c r="M91" s="1"/>
      <c r="N91" s="1"/>
      <c r="O91" s="1"/>
    </row>
    <row r="92" customFormat="false" ht="13.2" hidden="false" customHeight="false" outlineLevel="0" collapsed="false">
      <c r="A92" s="11" t="s">
        <v>22</v>
      </c>
      <c r="B92" s="11" t="s">
        <v>23</v>
      </c>
      <c r="C92" s="11" t="s">
        <v>24</v>
      </c>
      <c r="D92" s="1"/>
      <c r="K92" s="1"/>
      <c r="L92" s="1"/>
      <c r="M92" s="1"/>
      <c r="N92" s="1"/>
      <c r="O92" s="1"/>
    </row>
    <row r="93" customFormat="false" ht="13.2" hidden="false" customHeight="false" outlineLevel="0" collapsed="false">
      <c r="A93" s="1" t="n">
        <v>1</v>
      </c>
      <c r="B93" s="1" t="n">
        <f aca="false">RADIANS(Table1[[#This Row],[x]])</f>
        <v>0.0174532925199433</v>
      </c>
      <c r="C93" s="1" t="n">
        <f aca="false">SIN(B93)</f>
        <v>0.0174524064372835</v>
      </c>
      <c r="D93" s="1"/>
    </row>
    <row r="94" customFormat="false" ht="13.2" hidden="false" customHeight="false" outlineLevel="0" collapsed="false">
      <c r="A94" s="1" t="n">
        <v>2</v>
      </c>
      <c r="B94" s="1" t="n">
        <f aca="false">RADIANS(Table1[[#This Row],[x]])</f>
        <v>0.0349065850398866</v>
      </c>
      <c r="C94" s="1" t="n">
        <f aca="false">SIN(B94)</f>
        <v>0.034899496702501</v>
      </c>
      <c r="D94" s="1"/>
    </row>
    <row r="95" customFormat="false" ht="13.2" hidden="false" customHeight="false" outlineLevel="0" collapsed="false">
      <c r="A95" s="1" t="n">
        <v>3</v>
      </c>
      <c r="B95" s="1" t="n">
        <f aca="false">RADIANS(Table1[[#This Row],[x]])</f>
        <v>0.0523598775598299</v>
      </c>
      <c r="C95" s="1" t="n">
        <f aca="false">SIN(B95)</f>
        <v>0.0523359562429438</v>
      </c>
      <c r="D95" s="1"/>
    </row>
    <row r="96" customFormat="false" ht="13.2" hidden="false" customHeight="false" outlineLevel="0" collapsed="false">
      <c r="A96" s="1" t="n">
        <v>4</v>
      </c>
      <c r="B96" s="1" t="n">
        <f aca="false">RADIANS(Table1[[#This Row],[x]])</f>
        <v>0.0698131700797732</v>
      </c>
      <c r="C96" s="1" t="n">
        <f aca="false">SIN(B96)</f>
        <v>0.0697564737441253</v>
      </c>
      <c r="D96" s="1"/>
    </row>
    <row r="97" customFormat="false" ht="13.2" hidden="false" customHeight="false" outlineLevel="0" collapsed="false">
      <c r="A97" s="1" t="n">
        <v>5</v>
      </c>
      <c r="B97" s="1" t="n">
        <f aca="false">RADIANS(Table1[[#This Row],[x]])</f>
        <v>0.0872664625997165</v>
      </c>
      <c r="C97" s="1" t="n">
        <f aca="false">SIN(B97)</f>
        <v>0.0871557427476582</v>
      </c>
      <c r="D97" s="1"/>
    </row>
    <row r="98" customFormat="false" ht="13.2" hidden="false" customHeight="false" outlineLevel="0" collapsed="false">
      <c r="A98" s="1" t="n">
        <v>6</v>
      </c>
      <c r="B98" s="1" t="n">
        <f aca="false">RADIANS(Table1[[#This Row],[x]])</f>
        <v>0.10471975511966</v>
      </c>
      <c r="C98" s="1" t="n">
        <f aca="false">SIN(B98)</f>
        <v>0.104528463267653</v>
      </c>
      <c r="D98" s="1"/>
    </row>
    <row r="99" customFormat="false" ht="13.2" hidden="false" customHeight="false" outlineLevel="0" collapsed="false">
      <c r="A99" s="1" t="n">
        <v>7</v>
      </c>
      <c r="B99" s="1" t="n">
        <f aca="false">RADIANS(Table1[[#This Row],[x]])</f>
        <v>0.122173047639603</v>
      </c>
      <c r="C99" s="1" t="n">
        <f aca="false">SIN(B99)</f>
        <v>0.121869343405147</v>
      </c>
      <c r="D99" s="1"/>
    </row>
    <row r="100" customFormat="false" ht="13.2" hidden="false" customHeight="false" outlineLevel="0" collapsed="false">
      <c r="A100" s="1" t="n">
        <v>8</v>
      </c>
      <c r="B100" s="1" t="n">
        <f aca="false">RADIANS(Table1[[#This Row],[x]])</f>
        <v>0.139626340159546</v>
      </c>
      <c r="C100" s="1" t="n">
        <f aca="false">SIN(B100)</f>
        <v>0.139173100960065</v>
      </c>
      <c r="D100" s="1"/>
    </row>
    <row r="101" customFormat="false" ht="13.2" hidden="false" customHeight="false" outlineLevel="0" collapsed="false">
      <c r="A101" s="1" t="n">
        <v>9</v>
      </c>
      <c r="B101" s="1" t="n">
        <f aca="false">RADIANS(Table1[[#This Row],[x]])</f>
        <v>0.15707963267949</v>
      </c>
      <c r="C101" s="1" t="n">
        <f aca="false">SIN(B101)</f>
        <v>0.156434465040231</v>
      </c>
      <c r="D101" s="1"/>
    </row>
    <row r="102" customFormat="false" ht="13.2" hidden="false" customHeight="false" outlineLevel="0" collapsed="false">
      <c r="A102" s="1" t="n">
        <v>10</v>
      </c>
      <c r="B102" s="1" t="n">
        <f aca="false">RADIANS(Table1[[#This Row],[x]])</f>
        <v>0.174532925199433</v>
      </c>
      <c r="C102" s="1" t="n">
        <f aca="false">SIN(B102)</f>
        <v>0.17364817766693</v>
      </c>
      <c r="D102" s="1"/>
    </row>
    <row r="103" customFormat="false" ht="13.2" hidden="false" customHeight="false" outlineLevel="0" collapsed="false">
      <c r="A103" s="1" t="n">
        <v>11</v>
      </c>
      <c r="B103" s="1" t="n">
        <f aca="false">RADIANS(Table1[[#This Row],[x]])</f>
        <v>0.191986217719376</v>
      </c>
      <c r="C103" s="1" t="n">
        <f aca="false">SIN(B103)</f>
        <v>0.190808995376545</v>
      </c>
      <c r="D103" s="1"/>
    </row>
    <row r="104" customFormat="false" ht="13.2" hidden="false" customHeight="false" outlineLevel="0" collapsed="false">
      <c r="A104" s="1" t="n">
        <v>12</v>
      </c>
      <c r="B104" s="1" t="n">
        <f aca="false">RADIANS(Table1[[#This Row],[x]])</f>
        <v>0.20943951023932</v>
      </c>
      <c r="C104" s="1" t="n">
        <f aca="false">SIN(B104)</f>
        <v>0.207911690817759</v>
      </c>
      <c r="D104" s="1"/>
    </row>
    <row r="105" customFormat="false" ht="13.2" hidden="false" customHeight="false" outlineLevel="0" collapsed="false">
      <c r="A105" s="1" t="n">
        <v>13</v>
      </c>
      <c r="B105" s="1" t="n">
        <f aca="false">RADIANS(Table1[[#This Row],[x]])</f>
        <v>0.226892802759263</v>
      </c>
      <c r="C105" s="1" t="n">
        <f aca="false">SIN(B105)</f>
        <v>0.224951054343865</v>
      </c>
      <c r="D105" s="1"/>
    </row>
    <row r="106" customFormat="false" ht="13.2" hidden="false" customHeight="false" outlineLevel="0" collapsed="false">
      <c r="A106" s="1" t="n">
        <v>14</v>
      </c>
      <c r="B106" s="1" t="n">
        <f aca="false">RADIANS(Table1[[#This Row],[x]])</f>
        <v>0.244346095279206</v>
      </c>
      <c r="C106" s="1" t="n">
        <f aca="false">SIN(B106)</f>
        <v>0.241921895599668</v>
      </c>
      <c r="D106" s="1"/>
    </row>
    <row r="107" customFormat="false" ht="13.2" hidden="false" customHeight="false" outlineLevel="0" collapsed="false">
      <c r="A107" s="1" t="n">
        <v>15</v>
      </c>
      <c r="B107" s="1" t="n">
        <f aca="false">RADIANS(Table1[[#This Row],[x]])</f>
        <v>0.261799387799149</v>
      </c>
      <c r="C107" s="1" t="n">
        <f aca="false">SIN(B107)</f>
        <v>0.258819045102521</v>
      </c>
      <c r="D107" s="1"/>
    </row>
    <row r="108" customFormat="false" ht="13.2" hidden="false" customHeight="false" outlineLevel="0" collapsed="false">
      <c r="A108" s="1" t="n">
        <v>16</v>
      </c>
      <c r="B108" s="1" t="n">
        <f aca="false">RADIANS(Table1[[#This Row],[x]])</f>
        <v>0.279252680319093</v>
      </c>
      <c r="C108" s="1" t="n">
        <f aca="false">SIN(B108)</f>
        <v>0.275637355816999</v>
      </c>
      <c r="D108" s="1"/>
    </row>
    <row r="109" customFormat="false" ht="13.2" hidden="false" customHeight="false" outlineLevel="0" collapsed="false">
      <c r="A109" s="1" t="n">
        <v>17</v>
      </c>
      <c r="B109" s="12" t="n">
        <f aca="false">RADIANS(Table1[[#This Row],[x]])</f>
        <v>0.296705972839036</v>
      </c>
      <c r="C109" s="12" t="n">
        <f aca="false">SIN(B109)</f>
        <v>0.292371704722737</v>
      </c>
      <c r="D109" s="1"/>
    </row>
    <row r="110" customFormat="false" ht="13.2" hidden="false" customHeight="false" outlineLevel="0" collapsed="false">
      <c r="A110" s="1" t="n">
        <v>18</v>
      </c>
      <c r="B110" s="12" t="n">
        <f aca="false">RADIANS(Table1[[#This Row],[x]])</f>
        <v>0.314159265358979</v>
      </c>
      <c r="C110" s="12" t="n">
        <f aca="false">SIN(B110)</f>
        <v>0.309016994374947</v>
      </c>
      <c r="D110" s="1"/>
    </row>
    <row r="111" customFormat="false" ht="13.2" hidden="false" customHeight="false" outlineLevel="0" collapsed="false">
      <c r="A111" s="1" t="n">
        <v>19</v>
      </c>
      <c r="B111" s="12" t="n">
        <f aca="false">RADIANS(Table1[[#This Row],[x]])</f>
        <v>0.331612557878923</v>
      </c>
      <c r="C111" s="12" t="n">
        <f aca="false">SIN(B111)</f>
        <v>0.325568154457157</v>
      </c>
      <c r="D111" s="1"/>
    </row>
    <row r="112" customFormat="false" ht="13.2" hidden="false" customHeight="false" outlineLevel="0" collapsed="false">
      <c r="A112" s="1" t="n">
        <v>20</v>
      </c>
      <c r="B112" s="12" t="n">
        <f aca="false">RADIANS(Table1[[#This Row],[x]])</f>
        <v>0.349065850398866</v>
      </c>
      <c r="C112" s="12" t="n">
        <f aca="false">SIN(B112)</f>
        <v>0.342020143325669</v>
      </c>
    </row>
    <row r="113" customFormat="false" ht="13.2" hidden="false" customHeight="false" outlineLevel="0" collapsed="false">
      <c r="A113" s="1" t="n">
        <v>21</v>
      </c>
      <c r="B113" s="12" t="n">
        <f aca="false">RADIANS(Table1[[#This Row],[x]])</f>
        <v>0.366519142918809</v>
      </c>
      <c r="C113" s="12" t="n">
        <f aca="false">SIN(B113)</f>
        <v>0.3583679495453</v>
      </c>
    </row>
    <row r="114" customFormat="false" ht="13.2" hidden="false" customHeight="false" outlineLevel="0" collapsed="false">
      <c r="A114" s="1" t="n">
        <v>22</v>
      </c>
      <c r="B114" s="12" t="n">
        <f aca="false">RADIANS(Table1[[#This Row],[x]])</f>
        <v>0.383972435438752</v>
      </c>
      <c r="C114" s="12" t="n">
        <f aca="false">SIN(B114)</f>
        <v>0.374606593415912</v>
      </c>
    </row>
    <row r="115" customFormat="false" ht="13.2" hidden="false" customHeight="false" outlineLevel="0" collapsed="false">
      <c r="A115" s="1" t="n">
        <v>23</v>
      </c>
      <c r="B115" s="12" t="n">
        <f aca="false">RADIANS(Table1[[#This Row],[x]])</f>
        <v>0.401425727958696</v>
      </c>
      <c r="C115" s="12" t="n">
        <f aca="false">SIN(B115)</f>
        <v>0.390731128489274</v>
      </c>
    </row>
    <row r="116" customFormat="false" ht="13.2" hidden="false" customHeight="false" outlineLevel="0" collapsed="false">
      <c r="A116" s="1" t="n">
        <v>24</v>
      </c>
      <c r="B116" s="12" t="n">
        <f aca="false">RADIANS(Table1[[#This Row],[x]])</f>
        <v>0.418879020478639</v>
      </c>
      <c r="C116" s="12" t="n">
        <f aca="false">SIN(B116)</f>
        <v>0.4067366430758</v>
      </c>
    </row>
    <row r="117" customFormat="false" ht="13.2" hidden="false" customHeight="false" outlineLevel="0" collapsed="false">
      <c r="A117" s="1" t="n">
        <v>25</v>
      </c>
      <c r="B117" s="12" t="n">
        <f aca="false">RADIANS(Table1[[#This Row],[x]])</f>
        <v>0.436332312998582</v>
      </c>
      <c r="C117" s="12" t="n">
        <f aca="false">SIN(B117)</f>
        <v>0.422618261740699</v>
      </c>
    </row>
    <row r="118" customFormat="false" ht="13.2" hidden="false" customHeight="false" outlineLevel="0" collapsed="false">
      <c r="A118" s="1" t="n">
        <v>26</v>
      </c>
      <c r="B118" s="12" t="n">
        <f aca="false">RADIANS(Table1[[#This Row],[x]])</f>
        <v>0.453785605518526</v>
      </c>
      <c r="C118" s="12" t="n">
        <f aca="false">SIN(B118)</f>
        <v>0.438371146789077</v>
      </c>
    </row>
    <row r="119" customFormat="false" ht="13.2" hidden="false" customHeight="false" outlineLevel="0" collapsed="false">
      <c r="A119" s="1" t="n">
        <v>27</v>
      </c>
      <c r="B119" s="12" t="n">
        <f aca="false">RADIANS(Table1[[#This Row],[x]])</f>
        <v>0.471238898038469</v>
      </c>
      <c r="C119" s="12" t="n">
        <f aca="false">SIN(B119)</f>
        <v>0.453990499739547</v>
      </c>
    </row>
    <row r="120" customFormat="false" ht="13.2" hidden="false" customHeight="false" outlineLevel="0" collapsed="false">
      <c r="A120" s="1" t="n">
        <v>28</v>
      </c>
      <c r="B120" s="12" t="n">
        <f aca="false">RADIANS(Table1[[#This Row],[x]])</f>
        <v>0.488692190558412</v>
      </c>
      <c r="C120" s="12" t="n">
        <f aca="false">SIN(B120)</f>
        <v>0.469471562785891</v>
      </c>
    </row>
    <row r="121" customFormat="false" ht="13.2" hidden="false" customHeight="false" outlineLevel="0" collapsed="false">
      <c r="A121" s="1" t="n">
        <v>29</v>
      </c>
      <c r="B121" s="12" t="n">
        <f aca="false">RADIANS(Table1[[#This Row],[x]])</f>
        <v>0.506145483078356</v>
      </c>
      <c r="C121" s="12" t="n">
        <f aca="false">SIN(B121)</f>
        <v>0.484809620246337</v>
      </c>
    </row>
    <row r="122" customFormat="false" ht="13.2" hidden="false" customHeight="false" outlineLevel="0" collapsed="false">
      <c r="A122" s="1" t="n">
        <v>30</v>
      </c>
      <c r="B122" s="12" t="n">
        <f aca="false">RADIANS(Table1[[#This Row],[x]])</f>
        <v>0.523598775598299</v>
      </c>
      <c r="C122" s="12" t="n">
        <f aca="false">SIN(B122)</f>
        <v>0.5</v>
      </c>
    </row>
    <row r="123" customFormat="false" ht="13.2" hidden="false" customHeight="false" outlineLevel="0" collapsed="false">
      <c r="A123" s="1" t="n">
        <v>31</v>
      </c>
      <c r="B123" s="12" t="n">
        <f aca="false">RADIANS(Table1[[#This Row],[x]])</f>
        <v>0.541052068118242</v>
      </c>
      <c r="C123" s="12" t="n">
        <f aca="false">SIN(B123)</f>
        <v>0.515038074910054</v>
      </c>
    </row>
    <row r="124" customFormat="false" ht="13.2" hidden="false" customHeight="false" outlineLevel="0" collapsed="false">
      <c r="A124" s="1" t="n">
        <v>32</v>
      </c>
      <c r="B124" s="12" t="n">
        <f aca="false">RADIANS(Table1[[#This Row],[x]])</f>
        <v>0.558505360638186</v>
      </c>
      <c r="C124" s="12" t="n">
        <f aca="false">SIN(B124)</f>
        <v>0.529919264233205</v>
      </c>
    </row>
    <row r="125" customFormat="false" ht="13.2" hidden="false" customHeight="false" outlineLevel="0" collapsed="false">
      <c r="A125" s="1" t="n">
        <v>33</v>
      </c>
      <c r="B125" s="12" t="n">
        <f aca="false">RADIANS(Table1[[#This Row],[x]])</f>
        <v>0.575958653158129</v>
      </c>
      <c r="C125" s="12" t="n">
        <f aca="false">SIN(B125)</f>
        <v>0.544639035015027</v>
      </c>
    </row>
    <row r="126" customFormat="false" ht="13.2" hidden="false" customHeight="false" outlineLevel="0" collapsed="false">
      <c r="A126" s="1" t="n">
        <v>34</v>
      </c>
      <c r="B126" s="12" t="n">
        <f aca="false">RADIANS(Table1[[#This Row],[x]])</f>
        <v>0.593411945678072</v>
      </c>
      <c r="C126" s="12" t="n">
        <f aca="false">SIN(B126)</f>
        <v>0.559192903470747</v>
      </c>
    </row>
    <row r="127" customFormat="false" ht="13.2" hidden="false" customHeight="false" outlineLevel="0" collapsed="false">
      <c r="A127" s="1" t="n">
        <v>35</v>
      </c>
      <c r="B127" s="12" t="n">
        <f aca="false">RADIANS(Table1[[#This Row],[x]])</f>
        <v>0.610865238198015</v>
      </c>
      <c r="C127" s="12" t="n">
        <f aca="false">SIN(B127)</f>
        <v>0.573576436351046</v>
      </c>
    </row>
    <row r="128" customFormat="false" ht="13.2" hidden="false" customHeight="false" outlineLevel="0" collapsed="false">
      <c r="A128" s="1" t="n">
        <v>36</v>
      </c>
      <c r="B128" s="12" t="n">
        <f aca="false">RADIANS(Table1[[#This Row],[x]])</f>
        <v>0.628318530717959</v>
      </c>
      <c r="C128" s="12" t="n">
        <f aca="false">SIN(B128)</f>
        <v>0.587785252292473</v>
      </c>
    </row>
    <row r="129" customFormat="false" ht="13.2" hidden="false" customHeight="false" outlineLevel="0" collapsed="false">
      <c r="A129" s="1" t="n">
        <v>37</v>
      </c>
      <c r="B129" s="12" t="n">
        <f aca="false">RADIANS(Table1[[#This Row],[x]])</f>
        <v>0.645771823237902</v>
      </c>
      <c r="C129" s="12" t="n">
        <f aca="false">SIN(B129)</f>
        <v>0.601815023152048</v>
      </c>
    </row>
    <row r="130" customFormat="false" ht="13.2" hidden="false" customHeight="false" outlineLevel="0" collapsed="false">
      <c r="A130" s="1" t="n">
        <v>38</v>
      </c>
      <c r="B130" s="12" t="n">
        <f aca="false">RADIANS(Table1[[#This Row],[x]])</f>
        <v>0.663225115757845</v>
      </c>
      <c r="C130" s="12" t="n">
        <f aca="false">SIN(B130)</f>
        <v>0.615661475325658</v>
      </c>
    </row>
    <row r="131" customFormat="false" ht="13.2" hidden="false" customHeight="false" outlineLevel="0" collapsed="false">
      <c r="A131" s="1" t="n">
        <v>39</v>
      </c>
      <c r="B131" s="12" t="n">
        <f aca="false">RADIANS(Table1[[#This Row],[x]])</f>
        <v>0.680678408277789</v>
      </c>
      <c r="C131" s="12" t="n">
        <f aca="false">SIN(B131)</f>
        <v>0.629320391049837</v>
      </c>
    </row>
    <row r="132" customFormat="false" ht="13.2" hidden="false" customHeight="false" outlineLevel="0" collapsed="false">
      <c r="A132" s="1" t="n">
        <v>40</v>
      </c>
      <c r="B132" s="12" t="n">
        <f aca="false">RADIANS(Table1[[#This Row],[x]])</f>
        <v>0.698131700797732</v>
      </c>
      <c r="C132" s="12" t="n">
        <f aca="false">SIN(B132)</f>
        <v>0.642787609686539</v>
      </c>
    </row>
    <row r="133" customFormat="false" ht="13.2" hidden="false" customHeight="false" outlineLevel="0" collapsed="false">
      <c r="A133" s="1" t="n">
        <v>41</v>
      </c>
      <c r="B133" s="12" t="n">
        <f aca="false">RADIANS(Table1[[#This Row],[x]])</f>
        <v>0.715584993317675</v>
      </c>
      <c r="C133" s="12" t="n">
        <f aca="false">SIN(B133)</f>
        <v>0.656059028990507</v>
      </c>
    </row>
    <row r="134" customFormat="false" ht="13.2" hidden="false" customHeight="false" outlineLevel="0" collapsed="false">
      <c r="A134" s="1" t="n">
        <v>42</v>
      </c>
      <c r="B134" s="12" t="n">
        <f aca="false">RADIANS(Table1[[#This Row],[x]])</f>
        <v>0.733038285837618</v>
      </c>
      <c r="C134" s="12" t="n">
        <f aca="false">SIN(B134)</f>
        <v>0.669130606358858</v>
      </c>
    </row>
    <row r="135" customFormat="false" ht="13.2" hidden="false" customHeight="false" outlineLevel="0" collapsed="false">
      <c r="A135" s="1" t="n">
        <v>43</v>
      </c>
      <c r="B135" s="12" t="n">
        <f aca="false">RADIANS(Table1[[#This Row],[x]])</f>
        <v>0.750491578357562</v>
      </c>
      <c r="C135" s="12" t="n">
        <f aca="false">SIN(B135)</f>
        <v>0.681998360062499</v>
      </c>
    </row>
    <row r="136" customFormat="false" ht="13.2" hidden="false" customHeight="false" outlineLevel="0" collapsed="false">
      <c r="A136" s="1" t="n">
        <v>44</v>
      </c>
      <c r="B136" s="12" t="n">
        <f aca="false">RADIANS(Table1[[#This Row],[x]])</f>
        <v>0.767944870877505</v>
      </c>
      <c r="C136" s="12" t="n">
        <f aca="false">SIN(B136)</f>
        <v>0.694658370458997</v>
      </c>
    </row>
    <row r="137" customFormat="false" ht="13.2" hidden="false" customHeight="false" outlineLevel="0" collapsed="false">
      <c r="A137" s="1" t="n">
        <v>45</v>
      </c>
      <c r="B137" s="12" t="n">
        <f aca="false">RADIANS(Table1[[#This Row],[x]])</f>
        <v>0.785398163397448</v>
      </c>
      <c r="C137" s="12" t="n">
        <f aca="false">SIN(B137)</f>
        <v>0.707106781186548</v>
      </c>
    </row>
    <row r="138" customFormat="false" ht="13.2" hidden="false" customHeight="false" outlineLevel="0" collapsed="false">
      <c r="A138" s="1" t="n">
        <v>46</v>
      </c>
      <c r="B138" s="12" t="n">
        <f aca="false">RADIANS(Table1[[#This Row],[x]])</f>
        <v>0.802851455917392</v>
      </c>
      <c r="C138" s="12" t="n">
        <f aca="false">SIN(B138)</f>
        <v>0.719339800338651</v>
      </c>
    </row>
    <row r="139" customFormat="false" ht="13.2" hidden="false" customHeight="false" outlineLevel="0" collapsed="false">
      <c r="A139" s="1" t="n">
        <v>47</v>
      </c>
      <c r="B139" s="12" t="n">
        <f aca="false">RADIANS(Table1[[#This Row],[x]])</f>
        <v>0.820304748437335</v>
      </c>
      <c r="C139" s="12" t="n">
        <f aca="false">SIN(B139)</f>
        <v>0.73135370161917</v>
      </c>
    </row>
    <row r="140" customFormat="false" ht="13.2" hidden="false" customHeight="false" outlineLevel="0" collapsed="false">
      <c r="A140" s="1" t="n">
        <v>48</v>
      </c>
      <c r="B140" s="12" t="n">
        <f aca="false">RADIANS(Table1[[#This Row],[x]])</f>
        <v>0.837758040957278</v>
      </c>
      <c r="C140" s="12" t="n">
        <f aca="false">SIN(B140)</f>
        <v>0.743144825477394</v>
      </c>
    </row>
    <row r="141" customFormat="false" ht="13.2" hidden="false" customHeight="false" outlineLevel="0" collapsed="false">
      <c r="A141" s="1" t="n">
        <v>49</v>
      </c>
      <c r="B141" s="12" t="n">
        <f aca="false">RADIANS(Table1[[#This Row],[x]])</f>
        <v>0.855211333477221</v>
      </c>
      <c r="C141" s="12" t="n">
        <f aca="false">SIN(B141)</f>
        <v>0.754709580222772</v>
      </c>
    </row>
    <row r="142" customFormat="false" ht="13.2" hidden="false" customHeight="false" outlineLevel="0" collapsed="false">
      <c r="A142" s="1" t="n">
        <v>50</v>
      </c>
      <c r="B142" s="12" t="n">
        <f aca="false">RADIANS(Table1[[#This Row],[x]])</f>
        <v>0.872664625997165</v>
      </c>
      <c r="C142" s="12" t="n">
        <f aca="false">SIN(B142)</f>
        <v>0.766044443118978</v>
      </c>
    </row>
    <row r="143" customFormat="false" ht="13.2" hidden="false" customHeight="false" outlineLevel="0" collapsed="false">
      <c r="A143" s="1" t="n">
        <v>51</v>
      </c>
      <c r="B143" s="12" t="n">
        <f aca="false">RADIANS(Table1[[#This Row],[x]])</f>
        <v>0.890117918517108</v>
      </c>
      <c r="C143" s="12" t="n">
        <f aca="false">SIN(B143)</f>
        <v>0.777145961456971</v>
      </c>
    </row>
    <row r="144" customFormat="false" ht="13.2" hidden="false" customHeight="false" outlineLevel="0" collapsed="false">
      <c r="A144" s="1" t="n">
        <v>52</v>
      </c>
      <c r="B144" s="12" t="n">
        <f aca="false">RADIANS(Table1[[#This Row],[x]])</f>
        <v>0.907571211037051</v>
      </c>
      <c r="C144" s="12" t="n">
        <f aca="false">SIN(B144)</f>
        <v>0.788010753606722</v>
      </c>
    </row>
    <row r="145" customFormat="false" ht="13.2" hidden="false" customHeight="false" outlineLevel="0" collapsed="false">
      <c r="A145" s="1" t="n">
        <v>53</v>
      </c>
      <c r="B145" s="12" t="n">
        <f aca="false">RADIANS(Table1[[#This Row],[x]])</f>
        <v>0.925024503556995</v>
      </c>
      <c r="C145" s="12" t="n">
        <f aca="false">SIN(B145)</f>
        <v>0.798635510047293</v>
      </c>
    </row>
    <row r="146" customFormat="false" ht="13.2" hidden="false" customHeight="false" outlineLevel="0" collapsed="false">
      <c r="A146" s="1" t="n">
        <v>54</v>
      </c>
      <c r="B146" s="12" t="n">
        <f aca="false">RADIANS(Table1[[#This Row],[x]])</f>
        <v>0.942477796076938</v>
      </c>
      <c r="C146" s="12" t="n">
        <f aca="false">SIN(B146)</f>
        <v>0.809016994374947</v>
      </c>
    </row>
    <row r="147" customFormat="false" ht="13.2" hidden="false" customHeight="false" outlineLevel="0" collapsed="false">
      <c r="A147" s="1" t="n">
        <v>55</v>
      </c>
      <c r="B147" s="12" t="n">
        <f aca="false">RADIANS(Table1[[#This Row],[x]])</f>
        <v>0.959931088596881</v>
      </c>
      <c r="C147" s="12" t="n">
        <f aca="false">SIN(B147)</f>
        <v>0.819152044288992</v>
      </c>
    </row>
    <row r="148" customFormat="false" ht="13.2" hidden="false" customHeight="false" outlineLevel="0" collapsed="false">
      <c r="A148" s="1" t="n">
        <v>56</v>
      </c>
      <c r="B148" s="12" t="n">
        <f aca="false">RADIANS(Table1[[#This Row],[x]])</f>
        <v>0.977384381116824</v>
      </c>
      <c r="C148" s="12" t="n">
        <f aca="false">SIN(B148)</f>
        <v>0.829037572555042</v>
      </c>
    </row>
    <row r="149" customFormat="false" ht="13.2" hidden="false" customHeight="false" outlineLevel="0" collapsed="false">
      <c r="A149" s="1" t="n">
        <v>57</v>
      </c>
      <c r="B149" s="12" t="n">
        <f aca="false">RADIANS(Table1[[#This Row],[x]])</f>
        <v>0.994837673636768</v>
      </c>
      <c r="C149" s="12" t="n">
        <f aca="false">SIN(B149)</f>
        <v>0.838670567945424</v>
      </c>
    </row>
    <row r="150" customFormat="false" ht="13.2" hidden="false" customHeight="false" outlineLevel="0" collapsed="false">
      <c r="A150" s="1" t="n">
        <v>58</v>
      </c>
      <c r="B150" s="12" t="n">
        <f aca="false">RADIANS(Table1[[#This Row],[x]])</f>
        <v>1.01229096615671</v>
      </c>
      <c r="C150" s="12" t="n">
        <f aca="false">SIN(B150)</f>
        <v>0.848048096156426</v>
      </c>
    </row>
    <row r="151" customFormat="false" ht="13.2" hidden="false" customHeight="false" outlineLevel="0" collapsed="false">
      <c r="A151" s="1" t="n">
        <v>59</v>
      </c>
      <c r="B151" s="12" t="n">
        <f aca="false">RADIANS(Table1[[#This Row],[x]])</f>
        <v>1.02974425867665</v>
      </c>
      <c r="C151" s="12" t="n">
        <f aca="false">SIN(B151)</f>
        <v>0.857167300702112</v>
      </c>
    </row>
    <row r="152" customFormat="false" ht="13.2" hidden="false" customHeight="false" outlineLevel="0" collapsed="false">
      <c r="A152" s="1" t="n">
        <v>60</v>
      </c>
      <c r="B152" s="12" t="n">
        <f aca="false">RADIANS(Table1[[#This Row],[x]])</f>
        <v>1.0471975511966</v>
      </c>
      <c r="C152" s="12" t="n">
        <f aca="false">SIN(B152)</f>
        <v>0.866025403784439</v>
      </c>
    </row>
    <row r="153" customFormat="false" ht="13.2" hidden="false" customHeight="false" outlineLevel="0" collapsed="false">
      <c r="A153" s="1" t="n">
        <v>61</v>
      </c>
      <c r="B153" s="12" t="n">
        <f aca="false">RADIANS(Table1[[#This Row],[x]])</f>
        <v>1.06465084371654</v>
      </c>
      <c r="C153" s="12" t="n">
        <f aca="false">SIN(B153)</f>
        <v>0.874619707139396</v>
      </c>
    </row>
    <row r="154" customFormat="false" ht="13.2" hidden="false" customHeight="false" outlineLevel="0" collapsed="false">
      <c r="A154" s="1" t="n">
        <v>62</v>
      </c>
      <c r="B154" s="12" t="n">
        <f aca="false">RADIANS(Table1[[#This Row],[x]])</f>
        <v>1.08210413623648</v>
      </c>
      <c r="C154" s="12" t="n">
        <f aca="false">SIN(B154)</f>
        <v>0.882947592858927</v>
      </c>
    </row>
    <row r="155" customFormat="false" ht="13.2" hidden="false" customHeight="false" outlineLevel="0" collapsed="false">
      <c r="A155" s="1" t="n">
        <v>63</v>
      </c>
      <c r="B155" s="12" t="n">
        <f aca="false">RADIANS(Table1[[#This Row],[x]])</f>
        <v>1.09955742875643</v>
      </c>
      <c r="C155" s="12" t="n">
        <f aca="false">SIN(B155)</f>
        <v>0.891006524188368</v>
      </c>
    </row>
    <row r="156" customFormat="false" ht="13.2" hidden="false" customHeight="false" outlineLevel="0" collapsed="false">
      <c r="A156" s="1" t="n">
        <v>64</v>
      </c>
      <c r="B156" s="12" t="n">
        <f aca="false">RADIANS(Table1[[#This Row],[x]])</f>
        <v>1.11701072127637</v>
      </c>
      <c r="C156" s="12" t="n">
        <f aca="false">SIN(B156)</f>
        <v>0.898794046299167</v>
      </c>
    </row>
    <row r="157" customFormat="false" ht="13.2" hidden="false" customHeight="false" outlineLevel="0" collapsed="false">
      <c r="A157" s="1" t="n">
        <v>65</v>
      </c>
      <c r="B157" s="12" t="n">
        <f aca="false">RADIANS(Table1[[#This Row],[x]])</f>
        <v>1.13446401379631</v>
      </c>
      <c r="C157" s="12" t="n">
        <f aca="false">SIN(B157)</f>
        <v>0.90630778703665</v>
      </c>
    </row>
    <row r="158" customFormat="false" ht="13.2" hidden="false" customHeight="false" outlineLevel="0" collapsed="false">
      <c r="A158" s="1" t="n">
        <v>66</v>
      </c>
      <c r="B158" s="12" t="n">
        <f aca="false">RADIANS(Table1[[#This Row],[x]])</f>
        <v>1.15191730631626</v>
      </c>
      <c r="C158" s="12" t="n">
        <f aca="false">SIN(B158)</f>
        <v>0.913545457642601</v>
      </c>
    </row>
    <row r="159" customFormat="false" ht="13.2" hidden="false" customHeight="false" outlineLevel="0" collapsed="false">
      <c r="A159" s="1" t="n">
        <v>67</v>
      </c>
      <c r="B159" s="12" t="n">
        <f aca="false">RADIANS(Table1[[#This Row],[x]])</f>
        <v>1.1693705988362</v>
      </c>
      <c r="C159" s="12" t="n">
        <f aca="false">SIN(B159)</f>
        <v>0.92050485345244</v>
      </c>
    </row>
    <row r="160" customFormat="false" ht="13.2" hidden="false" customHeight="false" outlineLevel="0" collapsed="false">
      <c r="A160" s="1" t="n">
        <v>68</v>
      </c>
      <c r="B160" s="12" t="n">
        <f aca="false">RADIANS(Table1[[#This Row],[x]])</f>
        <v>1.18682389135614</v>
      </c>
      <c r="C160" s="12" t="n">
        <f aca="false">SIN(B160)</f>
        <v>0.927183854566787</v>
      </c>
    </row>
    <row r="161" customFormat="false" ht="13.2" hidden="false" customHeight="false" outlineLevel="0" collapsed="false">
      <c r="A161" s="1" t="n">
        <v>69</v>
      </c>
      <c r="B161" s="12" t="n">
        <f aca="false">RADIANS(Table1[[#This Row],[x]])</f>
        <v>1.20427718387609</v>
      </c>
      <c r="C161" s="12" t="n">
        <f aca="false">SIN(B161)</f>
        <v>0.933580426497202</v>
      </c>
    </row>
    <row r="162" customFormat="false" ht="13.2" hidden="false" customHeight="false" outlineLevel="0" collapsed="false">
      <c r="A162" s="1" t="n">
        <v>70</v>
      </c>
      <c r="B162" s="12" t="n">
        <f aca="false">RADIANS(Table1[[#This Row],[x]])</f>
        <v>1.22173047639603</v>
      </c>
      <c r="C162" s="12" t="n">
        <f aca="false">SIN(B162)</f>
        <v>0.939692620785908</v>
      </c>
    </row>
    <row r="163" customFormat="false" ht="13.2" hidden="false" customHeight="false" outlineLevel="0" collapsed="false">
      <c r="A163" s="1" t="n">
        <v>71</v>
      </c>
      <c r="B163" s="12" t="n">
        <f aca="false">RADIANS(Table1[[#This Row],[x]])</f>
        <v>1.23918376891597</v>
      </c>
      <c r="C163" s="12" t="n">
        <f aca="false">SIN(B163)</f>
        <v>0.945518575599317</v>
      </c>
    </row>
    <row r="164" customFormat="false" ht="13.2" hidden="false" customHeight="false" outlineLevel="0" collapsed="false">
      <c r="A164" s="1" t="n">
        <v>72</v>
      </c>
      <c r="B164" s="12" t="n">
        <f aca="false">RADIANS(Table1[[#This Row],[x]])</f>
        <v>1.25663706143592</v>
      </c>
      <c r="C164" s="12" t="n">
        <f aca="false">SIN(B164)</f>
        <v>0.951056516295153</v>
      </c>
    </row>
    <row r="165" customFormat="false" ht="13.2" hidden="false" customHeight="false" outlineLevel="0" collapsed="false">
      <c r="A165" s="1" t="n">
        <v>73</v>
      </c>
      <c r="B165" s="12" t="n">
        <f aca="false">RADIANS(Table1[[#This Row],[x]])</f>
        <v>1.27409035395586</v>
      </c>
      <c r="C165" s="12" t="n">
        <f aca="false">SIN(B165)</f>
        <v>0.956304755963035</v>
      </c>
    </row>
    <row r="166" customFormat="false" ht="13.2" hidden="false" customHeight="false" outlineLevel="0" collapsed="false">
      <c r="A166" s="1" t="n">
        <v>74</v>
      </c>
      <c r="B166" s="12" t="n">
        <f aca="false">RADIANS(Table1[[#This Row],[x]])</f>
        <v>1.2915436464758</v>
      </c>
      <c r="C166" s="12" t="n">
        <f aca="false">SIN(B166)</f>
        <v>0.961261695938319</v>
      </c>
    </row>
    <row r="167" customFormat="false" ht="13.2" hidden="false" customHeight="false" outlineLevel="0" collapsed="false">
      <c r="A167" s="1" t="n">
        <v>75</v>
      </c>
      <c r="B167" s="12" t="n">
        <f aca="false">RADIANS(Table1[[#This Row],[x]])</f>
        <v>1.30899693899575</v>
      </c>
      <c r="C167" s="12" t="n">
        <f aca="false">SIN(B167)</f>
        <v>0.965925826289068</v>
      </c>
    </row>
    <row r="168" customFormat="false" ht="13.2" hidden="false" customHeight="false" outlineLevel="0" collapsed="false">
      <c r="A168" s="1" t="n">
        <v>76</v>
      </c>
      <c r="B168" s="12" t="n">
        <f aca="false">RADIANS(Table1[[#This Row],[x]])</f>
        <v>1.32645023151569</v>
      </c>
      <c r="C168" s="12" t="n">
        <f aca="false">SIN(B168)</f>
        <v>0.970295726275996</v>
      </c>
    </row>
    <row r="169" customFormat="false" ht="13.2" hidden="false" customHeight="false" outlineLevel="0" collapsed="false">
      <c r="A169" s="1" t="n">
        <v>77</v>
      </c>
      <c r="B169" s="12" t="n">
        <f aca="false">RADIANS(Table1[[#This Row],[x]])</f>
        <v>1.34390352403563</v>
      </c>
      <c r="C169" s="12" t="n">
        <f aca="false">SIN(B169)</f>
        <v>0.974370064785235</v>
      </c>
    </row>
    <row r="170" customFormat="false" ht="13.2" hidden="false" customHeight="false" outlineLevel="0" collapsed="false">
      <c r="A170" s="1" t="n">
        <v>78</v>
      </c>
      <c r="B170" s="12" t="n">
        <f aca="false">RADIANS(Table1[[#This Row],[x]])</f>
        <v>1.36135681655558</v>
      </c>
      <c r="C170" s="12" t="n">
        <f aca="false">SIN(B170)</f>
        <v>0.978147600733806</v>
      </c>
    </row>
    <row r="171" customFormat="false" ht="13.2" hidden="false" customHeight="false" outlineLevel="0" collapsed="false">
      <c r="A171" s="1" t="n">
        <v>79</v>
      </c>
      <c r="B171" s="12" t="n">
        <f aca="false">RADIANS(Table1[[#This Row],[x]])</f>
        <v>1.37881010907552</v>
      </c>
      <c r="C171" s="12" t="n">
        <f aca="false">SIN(B171)</f>
        <v>0.981627183447664</v>
      </c>
    </row>
    <row r="172" customFormat="false" ht="13.2" hidden="false" customHeight="false" outlineLevel="0" collapsed="false">
      <c r="A172" s="1" t="n">
        <v>80</v>
      </c>
      <c r="B172" s="12" t="n">
        <f aca="false">RADIANS(Table1[[#This Row],[x]])</f>
        <v>1.39626340159546</v>
      </c>
      <c r="C172" s="12" t="n">
        <f aca="false">SIN(B172)</f>
        <v>0.984807753012208</v>
      </c>
    </row>
    <row r="173" customFormat="false" ht="13.2" hidden="false" customHeight="false" outlineLevel="0" collapsed="false">
      <c r="A173" s="1" t="n">
        <v>81</v>
      </c>
      <c r="B173" s="12" t="n">
        <f aca="false">RADIANS(Table1[[#This Row],[x]])</f>
        <v>1.41371669411541</v>
      </c>
      <c r="C173" s="12" t="n">
        <f aca="false">SIN(B173)</f>
        <v>0.987688340595138</v>
      </c>
    </row>
    <row r="174" customFormat="false" ht="13.2" hidden="false" customHeight="false" outlineLevel="0" collapsed="false">
      <c r="A174" s="1" t="n">
        <v>82</v>
      </c>
      <c r="B174" s="12" t="n">
        <f aca="false">RADIANS(Table1[[#This Row],[x]])</f>
        <v>1.43116998663535</v>
      </c>
      <c r="C174" s="12" t="n">
        <f aca="false">SIN(B174)</f>
        <v>0.99026806874157</v>
      </c>
    </row>
    <row r="175" customFormat="false" ht="13.2" hidden="false" customHeight="false" outlineLevel="0" collapsed="false">
      <c r="A175" s="1" t="n">
        <v>83</v>
      </c>
      <c r="B175" s="12" t="n">
        <f aca="false">RADIANS(Table1[[#This Row],[x]])</f>
        <v>1.44862327915529</v>
      </c>
      <c r="C175" s="12" t="n">
        <f aca="false">SIN(B175)</f>
        <v>0.992546151641322</v>
      </c>
    </row>
    <row r="176" customFormat="false" ht="13.2" hidden="false" customHeight="false" outlineLevel="0" collapsed="false">
      <c r="A176" s="1" t="n">
        <v>84</v>
      </c>
      <c r="B176" s="12" t="n">
        <f aca="false">RADIANS(Table1[[#This Row],[x]])</f>
        <v>1.46607657167524</v>
      </c>
      <c r="C176" s="12" t="n">
        <f aca="false">SIN(B176)</f>
        <v>0.994521895368273</v>
      </c>
    </row>
    <row r="177" customFormat="false" ht="13.2" hidden="false" customHeight="false" outlineLevel="0" collapsed="false">
      <c r="A177" s="1" t="n">
        <v>85</v>
      </c>
      <c r="B177" s="12" t="n">
        <f aca="false">RADIANS(Table1[[#This Row],[x]])</f>
        <v>1.48352986419518</v>
      </c>
      <c r="C177" s="12" t="n">
        <f aca="false">SIN(B177)</f>
        <v>0.996194698091746</v>
      </c>
    </row>
    <row r="178" customFormat="false" ht="13.2" hidden="false" customHeight="false" outlineLevel="0" collapsed="false">
      <c r="A178" s="1" t="n">
        <v>86</v>
      </c>
      <c r="B178" s="12" t="n">
        <f aca="false">RADIANS(Table1[[#This Row],[x]])</f>
        <v>1.50098315671512</v>
      </c>
      <c r="C178" s="12" t="n">
        <f aca="false">SIN(B178)</f>
        <v>0.997564050259824</v>
      </c>
    </row>
    <row r="179" customFormat="false" ht="13.2" hidden="false" customHeight="false" outlineLevel="0" collapsed="false">
      <c r="A179" s="1" t="n">
        <v>87</v>
      </c>
      <c r="B179" s="12" t="n">
        <f aca="false">RADIANS(Table1[[#This Row],[x]])</f>
        <v>1.51843644923507</v>
      </c>
      <c r="C179" s="12" t="n">
        <f aca="false">SIN(B179)</f>
        <v>0.998629534754574</v>
      </c>
    </row>
    <row r="180" customFormat="false" ht="13.2" hidden="false" customHeight="false" outlineLevel="0" collapsed="false">
      <c r="A180" s="1" t="n">
        <v>88</v>
      </c>
      <c r="B180" s="12" t="n">
        <f aca="false">RADIANS(Table1[[#This Row],[x]])</f>
        <v>1.53588974175501</v>
      </c>
      <c r="C180" s="12" t="n">
        <f aca="false">SIN(B180)</f>
        <v>0.999390827019096</v>
      </c>
    </row>
    <row r="181" customFormat="false" ht="13.2" hidden="false" customHeight="false" outlineLevel="0" collapsed="false">
      <c r="A181" s="1" t="n">
        <v>89</v>
      </c>
      <c r="B181" s="12" t="n">
        <f aca="false">RADIANS(Table1[[#This Row],[x]])</f>
        <v>1.55334303427495</v>
      </c>
      <c r="C181" s="12" t="n">
        <f aca="false">SIN(B181)</f>
        <v>0.999847695156391</v>
      </c>
    </row>
    <row r="182" customFormat="false" ht="13.2" hidden="false" customHeight="false" outlineLevel="0" collapsed="false">
      <c r="A182" s="1" t="n">
        <v>90</v>
      </c>
      <c r="B182" s="12" t="n">
        <f aca="false">RADIANS(Table1[[#This Row],[x]])</f>
        <v>1.5707963267949</v>
      </c>
      <c r="C182" s="12" t="n">
        <f aca="false">SIN(B182)</f>
        <v>1</v>
      </c>
    </row>
    <row r="183" customFormat="false" ht="13.2" hidden="false" customHeight="false" outlineLevel="0" collapsed="false">
      <c r="A183" s="1" t="n">
        <v>91</v>
      </c>
      <c r="B183" s="12" t="n">
        <f aca="false">RADIANS(Table1[[#This Row],[x]])</f>
        <v>1.58824961931484</v>
      </c>
      <c r="C183" s="12" t="n">
        <f aca="false">SIN(B183)</f>
        <v>0.999847695156391</v>
      </c>
    </row>
    <row r="184" customFormat="false" ht="13.2" hidden="false" customHeight="false" outlineLevel="0" collapsed="false">
      <c r="A184" s="1" t="n">
        <v>92</v>
      </c>
      <c r="B184" s="12" t="n">
        <f aca="false">RADIANS(Table1[[#This Row],[x]])</f>
        <v>1.60570291183478</v>
      </c>
      <c r="C184" s="12" t="n">
        <f aca="false">SIN(B184)</f>
        <v>0.999390827019096</v>
      </c>
    </row>
    <row r="185" customFormat="false" ht="13.2" hidden="false" customHeight="false" outlineLevel="0" collapsed="false">
      <c r="A185" s="1" t="n">
        <v>93</v>
      </c>
      <c r="B185" s="12" t="n">
        <f aca="false">RADIANS(Table1[[#This Row],[x]])</f>
        <v>1.62315620435473</v>
      </c>
      <c r="C185" s="12" t="n">
        <f aca="false">SIN(B185)</f>
        <v>0.998629534754574</v>
      </c>
    </row>
    <row r="186" customFormat="false" ht="13.2" hidden="false" customHeight="false" outlineLevel="0" collapsed="false">
      <c r="A186" s="1" t="n">
        <v>94</v>
      </c>
      <c r="B186" s="12" t="n">
        <f aca="false">RADIANS(Table1[[#This Row],[x]])</f>
        <v>1.64060949687467</v>
      </c>
      <c r="C186" s="12" t="n">
        <f aca="false">SIN(B186)</f>
        <v>0.997564050259824</v>
      </c>
    </row>
    <row r="187" customFormat="false" ht="13.2" hidden="false" customHeight="false" outlineLevel="0" collapsed="false">
      <c r="A187" s="1" t="n">
        <v>95</v>
      </c>
      <c r="B187" s="12" t="n">
        <f aca="false">RADIANS(Table1[[#This Row],[x]])</f>
        <v>1.65806278939461</v>
      </c>
      <c r="C187" s="12" t="n">
        <f aca="false">SIN(B187)</f>
        <v>0.996194698091746</v>
      </c>
    </row>
    <row r="188" customFormat="false" ht="13.2" hidden="false" customHeight="false" outlineLevel="0" collapsed="false">
      <c r="A188" s="1" t="n">
        <v>96</v>
      </c>
      <c r="B188" s="12" t="n">
        <f aca="false">RADIANS(Table1[[#This Row],[x]])</f>
        <v>1.67551608191456</v>
      </c>
      <c r="C188" s="12" t="n">
        <f aca="false">SIN(B188)</f>
        <v>0.994521895368273</v>
      </c>
    </row>
    <row r="189" customFormat="false" ht="13.2" hidden="false" customHeight="false" outlineLevel="0" collapsed="false">
      <c r="A189" s="1" t="n">
        <v>97</v>
      </c>
      <c r="B189" s="12" t="n">
        <f aca="false">RADIANS(Table1[[#This Row],[x]])</f>
        <v>1.6929693744345</v>
      </c>
      <c r="C189" s="12" t="n">
        <f aca="false">SIN(B189)</f>
        <v>0.992546151641322</v>
      </c>
    </row>
    <row r="190" customFormat="false" ht="13.2" hidden="false" customHeight="false" outlineLevel="0" collapsed="false">
      <c r="A190" s="1" t="n">
        <v>98</v>
      </c>
      <c r="B190" s="12" t="n">
        <f aca="false">RADIANS(Table1[[#This Row],[x]])</f>
        <v>1.71042266695444</v>
      </c>
      <c r="C190" s="12" t="n">
        <f aca="false">SIN(B190)</f>
        <v>0.99026806874157</v>
      </c>
    </row>
    <row r="191" customFormat="false" ht="13.2" hidden="false" customHeight="false" outlineLevel="0" collapsed="false">
      <c r="A191" s="1" t="n">
        <v>99</v>
      </c>
      <c r="B191" s="12" t="n">
        <f aca="false">RADIANS(Table1[[#This Row],[x]])</f>
        <v>1.72787595947439</v>
      </c>
      <c r="C191" s="12" t="n">
        <f aca="false">SIN(B191)</f>
        <v>0.987688340595138</v>
      </c>
    </row>
    <row r="192" customFormat="false" ht="13.2" hidden="false" customHeight="false" outlineLevel="0" collapsed="false">
      <c r="A192" s="1" t="n">
        <v>100</v>
      </c>
      <c r="B192" s="12" t="n">
        <f aca="false">RADIANS(Table1[[#This Row],[x]])</f>
        <v>1.74532925199433</v>
      </c>
      <c r="C192" s="12" t="n">
        <f aca="false">SIN(B192)</f>
        <v>0.984807753012208</v>
      </c>
    </row>
    <row r="193" customFormat="false" ht="13.2" hidden="false" customHeight="false" outlineLevel="0" collapsed="false">
      <c r="A193" s="1" t="n">
        <v>101</v>
      </c>
      <c r="B193" s="12" t="n">
        <f aca="false">RADIANS(Table1[[#This Row],[x]])</f>
        <v>1.76278254451427</v>
      </c>
      <c r="C193" s="12" t="n">
        <f aca="false">SIN(B193)</f>
        <v>0.981627183447664</v>
      </c>
    </row>
    <row r="194" customFormat="false" ht="13.2" hidden="false" customHeight="false" outlineLevel="0" collapsed="false">
      <c r="A194" s="1" t="n">
        <v>102</v>
      </c>
      <c r="B194" s="12" t="n">
        <f aca="false">RADIANS(Table1[[#This Row],[x]])</f>
        <v>1.78023583703422</v>
      </c>
      <c r="C194" s="12" t="n">
        <f aca="false">SIN(B194)</f>
        <v>0.978147600733806</v>
      </c>
    </row>
    <row r="195" customFormat="false" ht="13.2" hidden="false" customHeight="false" outlineLevel="0" collapsed="false">
      <c r="A195" s="1" t="n">
        <v>103</v>
      </c>
      <c r="B195" s="12" t="n">
        <f aca="false">RADIANS(Table1[[#This Row],[x]])</f>
        <v>1.79768912955416</v>
      </c>
      <c r="C195" s="12" t="n">
        <f aca="false">SIN(B195)</f>
        <v>0.974370064785235</v>
      </c>
    </row>
    <row r="196" customFormat="false" ht="13.2" hidden="false" customHeight="false" outlineLevel="0" collapsed="false">
      <c r="A196" s="1" t="n">
        <v>104</v>
      </c>
      <c r="B196" s="12" t="n">
        <f aca="false">RADIANS(Table1[[#This Row],[x]])</f>
        <v>1.8151424220741</v>
      </c>
      <c r="C196" s="12" t="n">
        <f aca="false">SIN(B196)</f>
        <v>0.970295726275996</v>
      </c>
    </row>
    <row r="197" customFormat="false" ht="13.2" hidden="false" customHeight="false" outlineLevel="0" collapsed="false">
      <c r="A197" s="1" t="n">
        <v>105</v>
      </c>
      <c r="B197" s="12" t="n">
        <f aca="false">RADIANS(Table1[[#This Row],[x]])</f>
        <v>1.83259571459405</v>
      </c>
      <c r="C197" s="12" t="n">
        <f aca="false">SIN(B197)</f>
        <v>0.965925826289068</v>
      </c>
    </row>
    <row r="198" customFormat="false" ht="13.2" hidden="false" customHeight="false" outlineLevel="0" collapsed="false">
      <c r="A198" s="1" t="n">
        <v>106</v>
      </c>
      <c r="B198" s="12" t="n">
        <f aca="false">RADIANS(Table1[[#This Row],[x]])</f>
        <v>1.85004900711399</v>
      </c>
      <c r="C198" s="12" t="n">
        <f aca="false">SIN(B198)</f>
        <v>0.961261695938319</v>
      </c>
    </row>
    <row r="199" customFormat="false" ht="13.2" hidden="false" customHeight="false" outlineLevel="0" collapsed="false">
      <c r="A199" s="1" t="n">
        <v>107</v>
      </c>
      <c r="B199" s="12" t="n">
        <f aca="false">RADIANS(Table1[[#This Row],[x]])</f>
        <v>1.86750229963393</v>
      </c>
      <c r="C199" s="12" t="n">
        <f aca="false">SIN(B199)</f>
        <v>0.956304755963036</v>
      </c>
    </row>
    <row r="200" customFormat="false" ht="13.2" hidden="false" customHeight="false" outlineLevel="0" collapsed="false">
      <c r="A200" s="1" t="n">
        <v>108</v>
      </c>
      <c r="B200" s="12" t="n">
        <f aca="false">RADIANS(Table1[[#This Row],[x]])</f>
        <v>1.88495559215388</v>
      </c>
      <c r="C200" s="12" t="n">
        <f aca="false">SIN(B200)</f>
        <v>0.951056516295154</v>
      </c>
    </row>
    <row r="201" customFormat="false" ht="13.2" hidden="false" customHeight="false" outlineLevel="0" collapsed="false">
      <c r="A201" s="1" t="n">
        <v>109</v>
      </c>
      <c r="B201" s="12" t="n">
        <f aca="false">RADIANS(Table1[[#This Row],[x]])</f>
        <v>1.90240888467382</v>
      </c>
      <c r="C201" s="12" t="n">
        <f aca="false">SIN(B201)</f>
        <v>0.945518575599317</v>
      </c>
    </row>
    <row r="202" customFormat="false" ht="13.2" hidden="false" customHeight="false" outlineLevel="0" collapsed="false">
      <c r="A202" s="1" t="n">
        <v>110</v>
      </c>
      <c r="B202" s="12" t="n">
        <f aca="false">RADIANS(Table1[[#This Row],[x]])</f>
        <v>1.91986217719376</v>
      </c>
      <c r="C202" s="12" t="n">
        <f aca="false">SIN(B202)</f>
        <v>0.939692620785908</v>
      </c>
    </row>
    <row r="203" customFormat="false" ht="13.2" hidden="false" customHeight="false" outlineLevel="0" collapsed="false">
      <c r="A203" s="1" t="n">
        <v>111</v>
      </c>
      <c r="B203" s="12" t="n">
        <f aca="false">RADIANS(Table1[[#This Row],[x]])</f>
        <v>1.93731546971371</v>
      </c>
      <c r="C203" s="12" t="n">
        <f aca="false">SIN(B203)</f>
        <v>0.933580426497202</v>
      </c>
    </row>
    <row r="204" customFormat="false" ht="13.2" hidden="false" customHeight="false" outlineLevel="0" collapsed="false">
      <c r="A204" s="1" t="n">
        <v>112</v>
      </c>
      <c r="B204" s="12" t="n">
        <f aca="false">RADIANS(Table1[[#This Row],[x]])</f>
        <v>1.95476876223365</v>
      </c>
      <c r="C204" s="12" t="n">
        <f aca="false">SIN(B204)</f>
        <v>0.927183854566787</v>
      </c>
    </row>
    <row r="205" customFormat="false" ht="13.2" hidden="false" customHeight="false" outlineLevel="0" collapsed="false">
      <c r="A205" s="1" t="n">
        <v>113</v>
      </c>
      <c r="B205" s="12" t="n">
        <f aca="false">RADIANS(Table1[[#This Row],[x]])</f>
        <v>1.97222205475359</v>
      </c>
      <c r="C205" s="12" t="n">
        <f aca="false">SIN(B205)</f>
        <v>0.92050485345244</v>
      </c>
    </row>
    <row r="206" customFormat="false" ht="13.2" hidden="false" customHeight="false" outlineLevel="0" collapsed="false">
      <c r="A206" s="1" t="n">
        <v>114</v>
      </c>
      <c r="B206" s="12" t="n">
        <f aca="false">RADIANS(Table1[[#This Row],[x]])</f>
        <v>1.98967534727354</v>
      </c>
      <c r="C206" s="12" t="n">
        <f aca="false">SIN(B206)</f>
        <v>0.913545457642601</v>
      </c>
    </row>
    <row r="207" customFormat="false" ht="13.2" hidden="false" customHeight="false" outlineLevel="0" collapsed="false">
      <c r="A207" s="1" t="n">
        <v>115</v>
      </c>
      <c r="B207" s="12" t="n">
        <f aca="false">RADIANS(Table1[[#This Row],[x]])</f>
        <v>2.00712863979348</v>
      </c>
      <c r="C207" s="12" t="n">
        <f aca="false">SIN(B207)</f>
        <v>0.90630778703665</v>
      </c>
    </row>
    <row r="208" customFormat="false" ht="13.2" hidden="false" customHeight="false" outlineLevel="0" collapsed="false">
      <c r="A208" s="1" t="n">
        <v>116</v>
      </c>
      <c r="B208" s="12" t="n">
        <f aca="false">RADIANS(Table1[[#This Row],[x]])</f>
        <v>2.02458193231342</v>
      </c>
      <c r="C208" s="12" t="n">
        <f aca="false">SIN(B208)</f>
        <v>0.898794046299167</v>
      </c>
    </row>
    <row r="209" customFormat="false" ht="13.2" hidden="false" customHeight="false" outlineLevel="0" collapsed="false">
      <c r="A209" s="1" t="n">
        <v>117</v>
      </c>
      <c r="B209" s="12" t="n">
        <f aca="false">RADIANS(Table1[[#This Row],[x]])</f>
        <v>2.04203522483337</v>
      </c>
      <c r="C209" s="12" t="n">
        <f aca="false">SIN(B209)</f>
        <v>0.891006524188368</v>
      </c>
    </row>
    <row r="210" customFormat="false" ht="13.2" hidden="false" customHeight="false" outlineLevel="0" collapsed="false">
      <c r="A210" s="1" t="n">
        <v>118</v>
      </c>
      <c r="B210" s="12" t="n">
        <f aca="false">RADIANS(Table1[[#This Row],[x]])</f>
        <v>2.05948851735331</v>
      </c>
      <c r="C210" s="12" t="n">
        <f aca="false">SIN(B210)</f>
        <v>0.882947592858927</v>
      </c>
    </row>
    <row r="211" customFormat="false" ht="13.2" hidden="false" customHeight="false" outlineLevel="0" collapsed="false">
      <c r="A211" s="1" t="n">
        <v>119</v>
      </c>
      <c r="B211" s="12" t="n">
        <f aca="false">RADIANS(Table1[[#This Row],[x]])</f>
        <v>2.07694180987325</v>
      </c>
      <c r="C211" s="12" t="n">
        <f aca="false">SIN(B211)</f>
        <v>0.874619707139396</v>
      </c>
    </row>
    <row r="212" customFormat="false" ht="13.2" hidden="false" customHeight="false" outlineLevel="0" collapsed="false">
      <c r="A212" s="1" t="n">
        <v>120</v>
      </c>
      <c r="B212" s="12" t="n">
        <f aca="false">RADIANS(Table1[[#This Row],[x]])</f>
        <v>2.0943951023932</v>
      </c>
      <c r="C212" s="12" t="n">
        <f aca="false">SIN(B212)</f>
        <v>0.866025403784439</v>
      </c>
    </row>
    <row r="213" customFormat="false" ht="13.2" hidden="false" customHeight="false" outlineLevel="0" collapsed="false">
      <c r="A213" s="1" t="n">
        <v>121</v>
      </c>
      <c r="B213" s="12" t="n">
        <f aca="false">RADIANS(Table1[[#This Row],[x]])</f>
        <v>2.11184839491314</v>
      </c>
      <c r="C213" s="12" t="n">
        <f aca="false">SIN(B213)</f>
        <v>0.857167300702112</v>
      </c>
    </row>
    <row r="214" customFormat="false" ht="13.2" hidden="false" customHeight="false" outlineLevel="0" collapsed="false">
      <c r="A214" s="1" t="n">
        <v>122</v>
      </c>
      <c r="B214" s="12" t="n">
        <f aca="false">RADIANS(Table1[[#This Row],[x]])</f>
        <v>2.12930168743308</v>
      </c>
      <c r="C214" s="12" t="n">
        <f aca="false">SIN(B214)</f>
        <v>0.848048096156426</v>
      </c>
    </row>
    <row r="215" customFormat="false" ht="13.2" hidden="false" customHeight="false" outlineLevel="0" collapsed="false">
      <c r="A215" s="1" t="n">
        <v>123</v>
      </c>
      <c r="B215" s="12" t="n">
        <f aca="false">RADIANS(Table1[[#This Row],[x]])</f>
        <v>2.14675497995303</v>
      </c>
      <c r="C215" s="12" t="n">
        <f aca="false">SIN(B215)</f>
        <v>0.838670567945424</v>
      </c>
    </row>
    <row r="216" customFormat="false" ht="13.2" hidden="false" customHeight="false" outlineLevel="0" collapsed="false">
      <c r="A216" s="1" t="n">
        <v>124</v>
      </c>
      <c r="B216" s="12" t="n">
        <f aca="false">RADIANS(Table1[[#This Row],[x]])</f>
        <v>2.16420827247297</v>
      </c>
      <c r="C216" s="12" t="n">
        <f aca="false">SIN(B216)</f>
        <v>0.829037572555042</v>
      </c>
    </row>
    <row r="217" customFormat="false" ht="13.2" hidden="false" customHeight="false" outlineLevel="0" collapsed="false">
      <c r="A217" s="1" t="n">
        <v>125</v>
      </c>
      <c r="B217" s="12" t="n">
        <f aca="false">RADIANS(Table1[[#This Row],[x]])</f>
        <v>2.18166156499291</v>
      </c>
      <c r="C217" s="12" t="n">
        <f aca="false">SIN(B217)</f>
        <v>0.819152044288992</v>
      </c>
    </row>
    <row r="218" customFormat="false" ht="13.2" hidden="false" customHeight="false" outlineLevel="0" collapsed="false">
      <c r="A218" s="1" t="n">
        <v>126</v>
      </c>
      <c r="B218" s="12" t="n">
        <f aca="false">RADIANS(Table1[[#This Row],[x]])</f>
        <v>2.19911485751286</v>
      </c>
      <c r="C218" s="12" t="n">
        <f aca="false">SIN(B218)</f>
        <v>0.809016994374947</v>
      </c>
    </row>
    <row r="219" customFormat="false" ht="13.2" hidden="false" customHeight="false" outlineLevel="0" collapsed="false">
      <c r="A219" s="1" t="n">
        <v>127</v>
      </c>
      <c r="B219" s="12" t="n">
        <f aca="false">RADIANS(Table1[[#This Row],[x]])</f>
        <v>2.2165681500328</v>
      </c>
      <c r="C219" s="12" t="n">
        <f aca="false">SIN(B219)</f>
        <v>0.798635510047293</v>
      </c>
    </row>
    <row r="220" customFormat="false" ht="13.2" hidden="false" customHeight="false" outlineLevel="0" collapsed="false">
      <c r="A220" s="1" t="n">
        <v>128</v>
      </c>
      <c r="B220" s="12" t="n">
        <f aca="false">RADIANS(Table1[[#This Row],[x]])</f>
        <v>2.23402144255274</v>
      </c>
      <c r="C220" s="12" t="n">
        <f aca="false">SIN(B220)</f>
        <v>0.788010753606722</v>
      </c>
    </row>
    <row r="221" customFormat="false" ht="13.2" hidden="false" customHeight="false" outlineLevel="0" collapsed="false">
      <c r="A221" s="1" t="n">
        <v>129</v>
      </c>
      <c r="B221" s="12" t="n">
        <f aca="false">RADIANS(Table1[[#This Row],[x]])</f>
        <v>2.25147473507268</v>
      </c>
      <c r="C221" s="12" t="n">
        <f aca="false">SIN(B221)</f>
        <v>0.777145961456971</v>
      </c>
    </row>
    <row r="222" customFormat="false" ht="13.2" hidden="false" customHeight="false" outlineLevel="0" collapsed="false">
      <c r="A222" s="1" t="n">
        <v>130</v>
      </c>
      <c r="B222" s="12" t="n">
        <f aca="false">RADIANS(Table1[[#This Row],[x]])</f>
        <v>2.26892802759263</v>
      </c>
      <c r="C222" s="12" t="n">
        <f aca="false">SIN(B222)</f>
        <v>0.766044443118978</v>
      </c>
    </row>
    <row r="223" customFormat="false" ht="13.2" hidden="false" customHeight="false" outlineLevel="0" collapsed="false">
      <c r="A223" s="1" t="n">
        <v>131</v>
      </c>
      <c r="B223" s="12" t="n">
        <f aca="false">RADIANS(Table1[[#This Row],[x]])</f>
        <v>2.28638132011257</v>
      </c>
      <c r="C223" s="12" t="n">
        <f aca="false">SIN(B223)</f>
        <v>0.754709580222772</v>
      </c>
    </row>
    <row r="224" customFormat="false" ht="13.2" hidden="false" customHeight="false" outlineLevel="0" collapsed="false">
      <c r="A224" s="1" t="n">
        <v>132</v>
      </c>
      <c r="B224" s="12" t="n">
        <f aca="false">RADIANS(Table1[[#This Row],[x]])</f>
        <v>2.30383461263251</v>
      </c>
      <c r="C224" s="12" t="n">
        <f aca="false">SIN(B224)</f>
        <v>0.743144825477394</v>
      </c>
    </row>
    <row r="225" customFormat="false" ht="13.2" hidden="false" customHeight="false" outlineLevel="0" collapsed="false">
      <c r="A225" s="1" t="n">
        <v>133</v>
      </c>
      <c r="B225" s="12" t="n">
        <f aca="false">RADIANS(Table1[[#This Row],[x]])</f>
        <v>2.32128790515246</v>
      </c>
      <c r="C225" s="12" t="n">
        <f aca="false">SIN(B225)</f>
        <v>0.731353701619171</v>
      </c>
    </row>
    <row r="226" customFormat="false" ht="13.2" hidden="false" customHeight="false" outlineLevel="0" collapsed="false">
      <c r="A226" s="1" t="n">
        <v>134</v>
      </c>
      <c r="B226" s="12" t="n">
        <f aca="false">RADIANS(Table1[[#This Row],[x]])</f>
        <v>2.3387411976724</v>
      </c>
      <c r="C226" s="12" t="n">
        <f aca="false">SIN(B226)</f>
        <v>0.719339800338651</v>
      </c>
    </row>
    <row r="227" customFormat="false" ht="13.2" hidden="false" customHeight="false" outlineLevel="0" collapsed="false">
      <c r="A227" s="1" t="n">
        <v>135</v>
      </c>
      <c r="B227" s="12" t="n">
        <f aca="false">RADIANS(Table1[[#This Row],[x]])</f>
        <v>2.35619449019234</v>
      </c>
      <c r="C227" s="12" t="n">
        <f aca="false">SIN(B227)</f>
        <v>0.707106781186548</v>
      </c>
    </row>
    <row r="228" customFormat="false" ht="13.2" hidden="false" customHeight="false" outlineLevel="0" collapsed="false">
      <c r="A228" s="1" t="n">
        <v>136</v>
      </c>
      <c r="B228" s="12" t="n">
        <f aca="false">RADIANS(Table1[[#This Row],[x]])</f>
        <v>2.37364778271229</v>
      </c>
      <c r="C228" s="12" t="n">
        <f aca="false">SIN(B228)</f>
        <v>0.694658370458997</v>
      </c>
    </row>
    <row r="229" customFormat="false" ht="13.2" hidden="false" customHeight="false" outlineLevel="0" collapsed="false">
      <c r="A229" s="1" t="n">
        <v>137</v>
      </c>
      <c r="B229" s="12" t="n">
        <f aca="false">RADIANS(Table1[[#This Row],[x]])</f>
        <v>2.39110107523223</v>
      </c>
      <c r="C229" s="12" t="n">
        <f aca="false">SIN(B229)</f>
        <v>0.681998360062499</v>
      </c>
    </row>
    <row r="230" customFormat="false" ht="13.2" hidden="false" customHeight="false" outlineLevel="0" collapsed="false">
      <c r="A230" s="1" t="n">
        <v>138</v>
      </c>
      <c r="B230" s="12" t="n">
        <f aca="false">RADIANS(Table1[[#This Row],[x]])</f>
        <v>2.40855436775217</v>
      </c>
      <c r="C230" s="12" t="n">
        <f aca="false">SIN(B230)</f>
        <v>0.669130606358858</v>
      </c>
    </row>
    <row r="231" customFormat="false" ht="13.2" hidden="false" customHeight="false" outlineLevel="0" collapsed="false">
      <c r="A231" s="1" t="n">
        <v>139</v>
      </c>
      <c r="B231" s="12" t="n">
        <f aca="false">RADIANS(Table1[[#This Row],[x]])</f>
        <v>2.42600766027212</v>
      </c>
      <c r="C231" s="12" t="n">
        <f aca="false">SIN(B231)</f>
        <v>0.656059028990507</v>
      </c>
    </row>
    <row r="232" customFormat="false" ht="13.2" hidden="false" customHeight="false" outlineLevel="0" collapsed="false">
      <c r="A232" s="1" t="n">
        <v>140</v>
      </c>
      <c r="B232" s="12" t="n">
        <f aca="false">RADIANS(Table1[[#This Row],[x]])</f>
        <v>2.44346095279206</v>
      </c>
      <c r="C232" s="12" t="n">
        <f aca="false">SIN(B232)</f>
        <v>0.642787609686539</v>
      </c>
    </row>
    <row r="233" customFormat="false" ht="13.2" hidden="false" customHeight="false" outlineLevel="0" collapsed="false">
      <c r="A233" s="1" t="n">
        <v>141</v>
      </c>
      <c r="B233" s="12" t="n">
        <f aca="false">RADIANS(Table1[[#This Row],[x]])</f>
        <v>2.460914245312</v>
      </c>
      <c r="C233" s="12" t="n">
        <f aca="false">SIN(B233)</f>
        <v>0.629320391049837</v>
      </c>
    </row>
    <row r="234" customFormat="false" ht="13.2" hidden="false" customHeight="false" outlineLevel="0" collapsed="false">
      <c r="A234" s="1" t="n">
        <v>142</v>
      </c>
      <c r="B234" s="12" t="n">
        <f aca="false">RADIANS(Table1[[#This Row],[x]])</f>
        <v>2.47836753783195</v>
      </c>
      <c r="C234" s="12" t="n">
        <f aca="false">SIN(B234)</f>
        <v>0.615661475325658</v>
      </c>
    </row>
    <row r="235" customFormat="false" ht="13.2" hidden="false" customHeight="false" outlineLevel="0" collapsed="false">
      <c r="A235" s="1" t="n">
        <v>143</v>
      </c>
      <c r="B235" s="12" t="n">
        <f aca="false">RADIANS(Table1[[#This Row],[x]])</f>
        <v>2.49582083035189</v>
      </c>
      <c r="C235" s="12" t="n">
        <f aca="false">SIN(B235)</f>
        <v>0.601815023152048</v>
      </c>
    </row>
    <row r="236" customFormat="false" ht="13.2" hidden="false" customHeight="false" outlineLevel="0" collapsed="false">
      <c r="A236" s="1" t="n">
        <v>144</v>
      </c>
      <c r="B236" s="12" t="n">
        <f aca="false">RADIANS(Table1[[#This Row],[x]])</f>
        <v>2.51327412287183</v>
      </c>
      <c r="C236" s="12" t="n">
        <f aca="false">SIN(B236)</f>
        <v>0.587785252292473</v>
      </c>
    </row>
    <row r="237" customFormat="false" ht="13.2" hidden="false" customHeight="false" outlineLevel="0" collapsed="false">
      <c r="A237" s="1" t="n">
        <v>145</v>
      </c>
      <c r="B237" s="12" t="n">
        <f aca="false">RADIANS(Table1[[#This Row],[x]])</f>
        <v>2.53072741539178</v>
      </c>
      <c r="C237" s="12" t="n">
        <f aca="false">SIN(B237)</f>
        <v>0.573576436351046</v>
      </c>
    </row>
    <row r="238" customFormat="false" ht="13.2" hidden="false" customHeight="false" outlineLevel="0" collapsed="false">
      <c r="A238" s="1" t="n">
        <v>146</v>
      </c>
      <c r="B238" s="12" t="n">
        <f aca="false">RADIANS(Table1[[#This Row],[x]])</f>
        <v>2.54818070791172</v>
      </c>
      <c r="C238" s="12" t="n">
        <f aca="false">SIN(B238)</f>
        <v>0.559192903470747</v>
      </c>
    </row>
    <row r="239" customFormat="false" ht="13.2" hidden="false" customHeight="false" outlineLevel="0" collapsed="false">
      <c r="A239" s="1" t="n">
        <v>147</v>
      </c>
      <c r="B239" s="12" t="n">
        <f aca="false">RADIANS(Table1[[#This Row],[x]])</f>
        <v>2.56563400043166</v>
      </c>
      <c r="C239" s="12" t="n">
        <f aca="false">SIN(B239)</f>
        <v>0.544639035015027</v>
      </c>
    </row>
    <row r="240" customFormat="false" ht="13.2" hidden="false" customHeight="false" outlineLevel="0" collapsed="false">
      <c r="A240" s="1" t="n">
        <v>148</v>
      </c>
      <c r="B240" s="12" t="n">
        <f aca="false">RADIANS(Table1[[#This Row],[x]])</f>
        <v>2.58308729295161</v>
      </c>
      <c r="C240" s="12" t="n">
        <f aca="false">SIN(B240)</f>
        <v>0.529919264233205</v>
      </c>
    </row>
    <row r="241" customFormat="false" ht="13.2" hidden="false" customHeight="false" outlineLevel="0" collapsed="false">
      <c r="A241" s="1" t="n">
        <v>149</v>
      </c>
      <c r="B241" s="12" t="n">
        <f aca="false">RADIANS(Table1[[#This Row],[x]])</f>
        <v>2.60054058547155</v>
      </c>
      <c r="C241" s="12" t="n">
        <f aca="false">SIN(B241)</f>
        <v>0.515038074910054</v>
      </c>
    </row>
    <row r="242" customFormat="false" ht="13.2" hidden="false" customHeight="false" outlineLevel="0" collapsed="false">
      <c r="A242" s="1" t="n">
        <v>150</v>
      </c>
      <c r="B242" s="12" t="n">
        <f aca="false">RADIANS(Table1[[#This Row],[x]])</f>
        <v>2.61799387799149</v>
      </c>
      <c r="C242" s="12" t="n">
        <f aca="false">SIN(B242)</f>
        <v>0.5</v>
      </c>
    </row>
    <row r="243" customFormat="false" ht="13.2" hidden="false" customHeight="false" outlineLevel="0" collapsed="false">
      <c r="A243" s="1" t="n">
        <v>151</v>
      </c>
      <c r="B243" s="12" t="n">
        <f aca="false">RADIANS(Table1[[#This Row],[x]])</f>
        <v>2.63544717051144</v>
      </c>
      <c r="C243" s="12" t="n">
        <f aca="false">SIN(B243)</f>
        <v>0.484809620246337</v>
      </c>
    </row>
    <row r="244" customFormat="false" ht="13.2" hidden="false" customHeight="false" outlineLevel="0" collapsed="false">
      <c r="A244" s="1" t="n">
        <v>152</v>
      </c>
      <c r="B244" s="12" t="n">
        <f aca="false">RADIANS(Table1[[#This Row],[x]])</f>
        <v>2.65290046303138</v>
      </c>
      <c r="C244" s="12" t="n">
        <f aca="false">SIN(B244)</f>
        <v>0.469471562785891</v>
      </c>
    </row>
    <row r="245" customFormat="false" ht="13.2" hidden="false" customHeight="false" outlineLevel="0" collapsed="false">
      <c r="A245" s="1" t="n">
        <v>153</v>
      </c>
      <c r="B245" s="12" t="n">
        <f aca="false">RADIANS(Table1[[#This Row],[x]])</f>
        <v>2.67035375555132</v>
      </c>
      <c r="C245" s="12" t="n">
        <f aca="false">SIN(B245)</f>
        <v>0.453990499739547</v>
      </c>
    </row>
    <row r="246" customFormat="false" ht="13.2" hidden="false" customHeight="false" outlineLevel="0" collapsed="false">
      <c r="A246" s="1" t="n">
        <v>154</v>
      </c>
      <c r="B246" s="12" t="n">
        <f aca="false">RADIANS(Table1[[#This Row],[x]])</f>
        <v>2.68780704807127</v>
      </c>
      <c r="C246" s="12" t="n">
        <f aca="false">SIN(B246)</f>
        <v>0.438371146789077</v>
      </c>
    </row>
    <row r="247" customFormat="false" ht="13.2" hidden="false" customHeight="false" outlineLevel="0" collapsed="false">
      <c r="A247" s="1" t="n">
        <v>155</v>
      </c>
      <c r="B247" s="12" t="n">
        <f aca="false">RADIANS(Table1[[#This Row],[x]])</f>
        <v>2.70526034059121</v>
      </c>
      <c r="C247" s="12" t="n">
        <f aca="false">SIN(B247)</f>
        <v>0.422618261740699</v>
      </c>
    </row>
    <row r="248" customFormat="false" ht="13.2" hidden="false" customHeight="false" outlineLevel="0" collapsed="false">
      <c r="A248" s="1" t="n">
        <v>156</v>
      </c>
      <c r="B248" s="12" t="n">
        <f aca="false">RADIANS(Table1[[#This Row],[x]])</f>
        <v>2.72271363311115</v>
      </c>
      <c r="C248" s="12" t="n">
        <f aca="false">SIN(B248)</f>
        <v>0.4067366430758</v>
      </c>
    </row>
    <row r="249" customFormat="false" ht="13.2" hidden="false" customHeight="false" outlineLevel="0" collapsed="false">
      <c r="A249" s="1" t="n">
        <v>157</v>
      </c>
      <c r="B249" s="12" t="n">
        <f aca="false">RADIANS(Table1[[#This Row],[x]])</f>
        <v>2.7401669256311</v>
      </c>
      <c r="C249" s="12" t="n">
        <f aca="false">SIN(B249)</f>
        <v>0.390731128489274</v>
      </c>
    </row>
    <row r="250" customFormat="false" ht="13.2" hidden="false" customHeight="false" outlineLevel="0" collapsed="false">
      <c r="A250" s="1" t="n">
        <v>158</v>
      </c>
      <c r="B250" s="12" t="n">
        <f aca="false">RADIANS(Table1[[#This Row],[x]])</f>
        <v>2.75762021815104</v>
      </c>
      <c r="C250" s="12" t="n">
        <f aca="false">SIN(B250)</f>
        <v>0.374606593415912</v>
      </c>
    </row>
    <row r="251" customFormat="false" ht="13.2" hidden="false" customHeight="false" outlineLevel="0" collapsed="false">
      <c r="A251" s="1" t="n">
        <v>159</v>
      </c>
      <c r="B251" s="12" t="n">
        <f aca="false">RADIANS(Table1[[#This Row],[x]])</f>
        <v>2.77507351067098</v>
      </c>
      <c r="C251" s="12" t="n">
        <f aca="false">SIN(B251)</f>
        <v>0.3583679495453</v>
      </c>
    </row>
    <row r="252" customFormat="false" ht="13.2" hidden="false" customHeight="false" outlineLevel="0" collapsed="false">
      <c r="A252" s="1" t="n">
        <v>160</v>
      </c>
      <c r="B252" s="12" t="n">
        <f aca="false">RADIANS(Table1[[#This Row],[x]])</f>
        <v>2.79252680319093</v>
      </c>
      <c r="C252" s="12" t="n">
        <f aca="false">SIN(B252)</f>
        <v>0.342020143325669</v>
      </c>
    </row>
    <row r="253" customFormat="false" ht="13.2" hidden="false" customHeight="false" outlineLevel="0" collapsed="false">
      <c r="A253" s="1" t="n">
        <v>161</v>
      </c>
      <c r="B253" s="12" t="n">
        <f aca="false">RADIANS(Table1[[#This Row],[x]])</f>
        <v>2.80998009571087</v>
      </c>
      <c r="C253" s="12" t="n">
        <f aca="false">SIN(B253)</f>
        <v>0.325568154457157</v>
      </c>
    </row>
    <row r="254" customFormat="false" ht="13.2" hidden="false" customHeight="false" outlineLevel="0" collapsed="false">
      <c r="A254" s="1" t="n">
        <v>162</v>
      </c>
      <c r="B254" s="12" t="n">
        <f aca="false">RADIANS(Table1[[#This Row],[x]])</f>
        <v>2.82743338823081</v>
      </c>
      <c r="C254" s="12" t="n">
        <f aca="false">SIN(B254)</f>
        <v>0.309016994374947</v>
      </c>
    </row>
    <row r="255" customFormat="false" ht="13.2" hidden="false" customHeight="false" outlineLevel="0" collapsed="false">
      <c r="A255" s="1" t="n">
        <v>163</v>
      </c>
      <c r="B255" s="12" t="n">
        <f aca="false">RADIANS(Table1[[#This Row],[x]])</f>
        <v>2.84488668075076</v>
      </c>
      <c r="C255" s="12" t="n">
        <f aca="false">SIN(B255)</f>
        <v>0.292371704722737</v>
      </c>
    </row>
    <row r="256" customFormat="false" ht="13.2" hidden="false" customHeight="false" outlineLevel="0" collapsed="false">
      <c r="A256" s="1" t="n">
        <v>164</v>
      </c>
      <c r="B256" s="12" t="n">
        <f aca="false">RADIANS(Table1[[#This Row],[x]])</f>
        <v>2.8623399732707</v>
      </c>
      <c r="C256" s="12" t="n">
        <f aca="false">SIN(B256)</f>
        <v>0.275637355816999</v>
      </c>
    </row>
    <row r="257" customFormat="false" ht="13.2" hidden="false" customHeight="false" outlineLevel="0" collapsed="false">
      <c r="A257" s="1" t="n">
        <v>165</v>
      </c>
      <c r="B257" s="12" t="n">
        <f aca="false">RADIANS(Table1[[#This Row],[x]])</f>
        <v>2.87979326579064</v>
      </c>
      <c r="C257" s="12" t="n">
        <f aca="false">SIN(B257)</f>
        <v>0.258819045102521</v>
      </c>
    </row>
    <row r="258" customFormat="false" ht="13.2" hidden="false" customHeight="false" outlineLevel="0" collapsed="false">
      <c r="A258" s="1" t="n">
        <v>166</v>
      </c>
      <c r="B258" s="12" t="n">
        <f aca="false">RADIANS(Table1[[#This Row],[x]])</f>
        <v>2.89724655831059</v>
      </c>
      <c r="C258" s="12" t="n">
        <f aca="false">SIN(B258)</f>
        <v>0.241921895599668</v>
      </c>
    </row>
    <row r="259" customFormat="false" ht="13.2" hidden="false" customHeight="false" outlineLevel="0" collapsed="false">
      <c r="A259" s="1" t="n">
        <v>167</v>
      </c>
      <c r="B259" s="12" t="n">
        <f aca="false">RADIANS(Table1[[#This Row],[x]])</f>
        <v>2.91469985083053</v>
      </c>
      <c r="C259" s="12" t="n">
        <f aca="false">SIN(B259)</f>
        <v>0.224951054343865</v>
      </c>
    </row>
    <row r="260" customFormat="false" ht="13.2" hidden="false" customHeight="false" outlineLevel="0" collapsed="false">
      <c r="A260" s="1" t="n">
        <v>168</v>
      </c>
      <c r="B260" s="12" t="n">
        <f aca="false">RADIANS(Table1[[#This Row],[x]])</f>
        <v>2.93215314335047</v>
      </c>
      <c r="C260" s="12" t="n">
        <f aca="false">SIN(B260)</f>
        <v>0.207911690817759</v>
      </c>
    </row>
    <row r="261" customFormat="false" ht="13.2" hidden="false" customHeight="false" outlineLevel="0" collapsed="false">
      <c r="A261" s="1" t="n">
        <v>169</v>
      </c>
      <c r="B261" s="12" t="n">
        <f aca="false">RADIANS(Table1[[#This Row],[x]])</f>
        <v>2.94960643587042</v>
      </c>
      <c r="C261" s="12" t="n">
        <f aca="false">SIN(B261)</f>
        <v>0.190808995376545</v>
      </c>
    </row>
    <row r="262" customFormat="false" ht="13.2" hidden="false" customHeight="false" outlineLevel="0" collapsed="false">
      <c r="A262" s="1" t="n">
        <v>170</v>
      </c>
      <c r="B262" s="12" t="n">
        <f aca="false">RADIANS(Table1[[#This Row],[x]])</f>
        <v>2.96705972839036</v>
      </c>
      <c r="C262" s="12" t="n">
        <f aca="false">SIN(B262)</f>
        <v>0.17364817766693</v>
      </c>
    </row>
    <row r="263" customFormat="false" ht="13.2" hidden="false" customHeight="false" outlineLevel="0" collapsed="false">
      <c r="A263" s="1" t="n">
        <v>171</v>
      </c>
      <c r="B263" s="12" t="n">
        <f aca="false">RADIANS(Table1[[#This Row],[x]])</f>
        <v>2.9845130209103</v>
      </c>
      <c r="C263" s="12" t="n">
        <f aca="false">SIN(B263)</f>
        <v>0.156434465040231</v>
      </c>
    </row>
    <row r="264" customFormat="false" ht="13.2" hidden="false" customHeight="false" outlineLevel="0" collapsed="false">
      <c r="A264" s="1" t="n">
        <v>172</v>
      </c>
      <c r="B264" s="12" t="n">
        <f aca="false">RADIANS(Table1[[#This Row],[x]])</f>
        <v>3.00196631343025</v>
      </c>
      <c r="C264" s="12" t="n">
        <f aca="false">SIN(B264)</f>
        <v>0.139173100960065</v>
      </c>
    </row>
    <row r="265" customFormat="false" ht="13.2" hidden="false" customHeight="false" outlineLevel="0" collapsed="false">
      <c r="A265" s="1" t="n">
        <v>173</v>
      </c>
      <c r="B265" s="12" t="n">
        <f aca="false">RADIANS(Table1[[#This Row],[x]])</f>
        <v>3.01941960595019</v>
      </c>
      <c r="C265" s="12" t="n">
        <f aca="false">SIN(B265)</f>
        <v>0.121869343405148</v>
      </c>
    </row>
    <row r="266" customFormat="false" ht="13.2" hidden="false" customHeight="false" outlineLevel="0" collapsed="false">
      <c r="A266" s="1" t="n">
        <v>174</v>
      </c>
      <c r="B266" s="12" t="n">
        <f aca="false">RADIANS(Table1[[#This Row],[x]])</f>
        <v>3.03687289847013</v>
      </c>
      <c r="C266" s="12" t="n">
        <f aca="false">SIN(B266)</f>
        <v>0.104528463267654</v>
      </c>
    </row>
    <row r="267" customFormat="false" ht="13.2" hidden="false" customHeight="false" outlineLevel="0" collapsed="false">
      <c r="A267" s="1" t="n">
        <v>175</v>
      </c>
      <c r="B267" s="12" t="n">
        <f aca="false">RADIANS(Table1[[#This Row],[x]])</f>
        <v>3.05432619099008</v>
      </c>
      <c r="C267" s="12" t="n">
        <f aca="false">SIN(B267)</f>
        <v>0.0871557427476582</v>
      </c>
    </row>
    <row r="268" customFormat="false" ht="13.2" hidden="false" customHeight="false" outlineLevel="0" collapsed="false">
      <c r="A268" s="1" t="n">
        <v>176</v>
      </c>
      <c r="B268" s="12" t="n">
        <f aca="false">RADIANS(Table1[[#This Row],[x]])</f>
        <v>3.07177948351002</v>
      </c>
      <c r="C268" s="12" t="n">
        <f aca="false">SIN(B268)</f>
        <v>0.0697564737441255</v>
      </c>
    </row>
    <row r="269" customFormat="false" ht="13.2" hidden="false" customHeight="false" outlineLevel="0" collapsed="false">
      <c r="A269" s="1" t="n">
        <v>177</v>
      </c>
      <c r="B269" s="12" t="n">
        <f aca="false">RADIANS(Table1[[#This Row],[x]])</f>
        <v>3.08923277602996</v>
      </c>
      <c r="C269" s="12" t="n">
        <f aca="false">SIN(B269)</f>
        <v>0.0523359562429438</v>
      </c>
    </row>
    <row r="270" customFormat="false" ht="13.2" hidden="false" customHeight="false" outlineLevel="0" collapsed="false">
      <c r="A270" s="1" t="n">
        <v>178</v>
      </c>
      <c r="B270" s="12" t="n">
        <f aca="false">RADIANS(Table1[[#This Row],[x]])</f>
        <v>3.10668606854991</v>
      </c>
      <c r="C270" s="12" t="n">
        <f aca="false">SIN(B270)</f>
        <v>0.0348994967025011</v>
      </c>
    </row>
    <row r="271" customFormat="false" ht="13.2" hidden="false" customHeight="false" outlineLevel="0" collapsed="false">
      <c r="A271" s="1" t="n">
        <v>179</v>
      </c>
      <c r="B271" s="12" t="n">
        <f aca="false">RADIANS(Table1[[#This Row],[x]])</f>
        <v>3.12413936106985</v>
      </c>
      <c r="C271" s="12" t="n">
        <f aca="false">SIN(B271)</f>
        <v>0.0174524064372834</v>
      </c>
    </row>
    <row r="272" customFormat="false" ht="13.2" hidden="false" customHeight="false" outlineLevel="0" collapsed="false">
      <c r="A272" s="1" t="n">
        <v>180</v>
      </c>
      <c r="B272" s="12" t="n">
        <f aca="false">RADIANS(Table1[[#This Row],[x]])</f>
        <v>3.14159265358979</v>
      </c>
      <c r="C272" s="12" t="n">
        <f aca="false">SIN(B272)</f>
        <v>1.22464679914735E-016</v>
      </c>
    </row>
    <row r="273" customFormat="false" ht="13.2" hidden="false" customHeight="false" outlineLevel="0" collapsed="false">
      <c r="A273" s="1" t="n">
        <v>181</v>
      </c>
      <c r="B273" s="12" t="n">
        <f aca="false">RADIANS(Table1[[#This Row],[x]])</f>
        <v>3.15904594610974</v>
      </c>
      <c r="C273" s="12" t="n">
        <f aca="false">SIN(B273)</f>
        <v>-0.0174524064372836</v>
      </c>
    </row>
    <row r="274" customFormat="false" ht="13.2" hidden="false" customHeight="false" outlineLevel="0" collapsed="false">
      <c r="A274" s="1" t="n">
        <v>182</v>
      </c>
      <c r="B274" s="12" t="n">
        <f aca="false">RADIANS(Table1[[#This Row],[x]])</f>
        <v>3.17649923862968</v>
      </c>
      <c r="C274" s="12" t="n">
        <f aca="false">SIN(B274)</f>
        <v>-0.0348994967025009</v>
      </c>
    </row>
    <row r="275" customFormat="false" ht="13.2" hidden="false" customHeight="false" outlineLevel="0" collapsed="false">
      <c r="A275" s="1" t="n">
        <v>183</v>
      </c>
      <c r="B275" s="12" t="n">
        <f aca="false">RADIANS(Table1[[#This Row],[x]])</f>
        <v>3.19395253114962</v>
      </c>
      <c r="C275" s="12" t="n">
        <f aca="false">SIN(B275)</f>
        <v>-0.0523359562429436</v>
      </c>
    </row>
    <row r="276" customFormat="false" ht="13.2" hidden="false" customHeight="false" outlineLevel="0" collapsed="false">
      <c r="A276" s="1" t="n">
        <v>184</v>
      </c>
      <c r="B276" s="12" t="n">
        <f aca="false">RADIANS(Table1[[#This Row],[x]])</f>
        <v>3.21140582366957</v>
      </c>
      <c r="C276" s="12" t="n">
        <f aca="false">SIN(B276)</f>
        <v>-0.0697564737441253</v>
      </c>
    </row>
    <row r="277" customFormat="false" ht="13.2" hidden="false" customHeight="false" outlineLevel="0" collapsed="false">
      <c r="A277" s="1" t="n">
        <v>185</v>
      </c>
      <c r="B277" s="12" t="n">
        <f aca="false">RADIANS(Table1[[#This Row],[x]])</f>
        <v>3.22885911618951</v>
      </c>
      <c r="C277" s="12" t="n">
        <f aca="false">SIN(B277)</f>
        <v>-0.0871557427476579</v>
      </c>
    </row>
    <row r="278" customFormat="false" ht="13.2" hidden="false" customHeight="false" outlineLevel="0" collapsed="false">
      <c r="A278" s="1" t="n">
        <v>186</v>
      </c>
      <c r="B278" s="12" t="n">
        <f aca="false">RADIANS(Table1[[#This Row],[x]])</f>
        <v>3.24631240870945</v>
      </c>
      <c r="C278" s="12" t="n">
        <f aca="false">SIN(B278)</f>
        <v>-0.104528463267653</v>
      </c>
    </row>
    <row r="279" customFormat="false" ht="13.2" hidden="false" customHeight="false" outlineLevel="0" collapsed="false">
      <c r="A279" s="1" t="n">
        <v>187</v>
      </c>
      <c r="B279" s="12" t="n">
        <f aca="false">RADIANS(Table1[[#This Row],[x]])</f>
        <v>3.2637657012294</v>
      </c>
      <c r="C279" s="12" t="n">
        <f aca="false">SIN(B279)</f>
        <v>-0.121869343405147</v>
      </c>
    </row>
    <row r="280" customFormat="false" ht="13.2" hidden="false" customHeight="false" outlineLevel="0" collapsed="false">
      <c r="A280" s="1" t="n">
        <v>188</v>
      </c>
      <c r="B280" s="12" t="n">
        <f aca="false">RADIANS(Table1[[#This Row],[x]])</f>
        <v>3.28121899374934</v>
      </c>
      <c r="C280" s="12" t="n">
        <f aca="false">SIN(B280)</f>
        <v>-0.139173100960066</v>
      </c>
    </row>
    <row r="281" customFormat="false" ht="13.2" hidden="false" customHeight="false" outlineLevel="0" collapsed="false">
      <c r="A281" s="1" t="n">
        <v>189</v>
      </c>
      <c r="B281" s="12" t="n">
        <f aca="false">RADIANS(Table1[[#This Row],[x]])</f>
        <v>3.29867228626928</v>
      </c>
      <c r="C281" s="12" t="n">
        <f aca="false">SIN(B281)</f>
        <v>-0.156434465040231</v>
      </c>
    </row>
    <row r="282" customFormat="false" ht="13.2" hidden="false" customHeight="false" outlineLevel="0" collapsed="false">
      <c r="A282" s="1" t="n">
        <v>190</v>
      </c>
      <c r="B282" s="12" t="n">
        <f aca="false">RADIANS(Table1[[#This Row],[x]])</f>
        <v>3.31612557878923</v>
      </c>
      <c r="C282" s="12" t="n">
        <f aca="false">SIN(B282)</f>
        <v>-0.17364817766693</v>
      </c>
    </row>
    <row r="283" customFormat="false" ht="13.2" hidden="false" customHeight="false" outlineLevel="0" collapsed="false">
      <c r="A283" s="1" t="n">
        <v>191</v>
      </c>
      <c r="B283" s="12" t="n">
        <f aca="false">RADIANS(Table1[[#This Row],[x]])</f>
        <v>3.33357887130917</v>
      </c>
      <c r="C283" s="12" t="n">
        <f aca="false">SIN(B283)</f>
        <v>-0.190808995376545</v>
      </c>
    </row>
    <row r="284" customFormat="false" ht="13.2" hidden="false" customHeight="false" outlineLevel="0" collapsed="false">
      <c r="A284" s="1" t="n">
        <v>192</v>
      </c>
      <c r="B284" s="12" t="n">
        <f aca="false">RADIANS(Table1[[#This Row],[x]])</f>
        <v>3.35103216382911</v>
      </c>
      <c r="C284" s="12" t="n">
        <f aca="false">SIN(B284)</f>
        <v>-0.207911690817759</v>
      </c>
    </row>
    <row r="285" customFormat="false" ht="13.2" hidden="false" customHeight="false" outlineLevel="0" collapsed="false">
      <c r="A285" s="1" t="n">
        <v>193</v>
      </c>
      <c r="B285" s="12" t="n">
        <f aca="false">RADIANS(Table1[[#This Row],[x]])</f>
        <v>3.36848545634906</v>
      </c>
      <c r="C285" s="12" t="n">
        <f aca="false">SIN(B285)</f>
        <v>-0.224951054343865</v>
      </c>
    </row>
    <row r="286" customFormat="false" ht="13.2" hidden="false" customHeight="false" outlineLevel="0" collapsed="false">
      <c r="A286" s="1" t="n">
        <v>194</v>
      </c>
      <c r="B286" s="12" t="n">
        <f aca="false">RADIANS(Table1[[#This Row],[x]])</f>
        <v>3.385938748869</v>
      </c>
      <c r="C286" s="12" t="n">
        <f aca="false">SIN(B286)</f>
        <v>-0.241921895599667</v>
      </c>
    </row>
    <row r="287" customFormat="false" ht="13.2" hidden="false" customHeight="false" outlineLevel="0" collapsed="false">
      <c r="A287" s="1" t="n">
        <v>195</v>
      </c>
      <c r="B287" s="12" t="n">
        <f aca="false">RADIANS(Table1[[#This Row],[x]])</f>
        <v>3.40339204138894</v>
      </c>
      <c r="C287" s="12" t="n">
        <f aca="false">SIN(B287)</f>
        <v>-0.258819045102521</v>
      </c>
    </row>
    <row r="288" customFormat="false" ht="13.2" hidden="false" customHeight="false" outlineLevel="0" collapsed="false">
      <c r="A288" s="1" t="n">
        <v>196</v>
      </c>
      <c r="B288" s="12" t="n">
        <f aca="false">RADIANS(Table1[[#This Row],[x]])</f>
        <v>3.42084533390889</v>
      </c>
      <c r="C288" s="12" t="n">
        <f aca="false">SIN(B288)</f>
        <v>-0.275637355816999</v>
      </c>
    </row>
    <row r="289" customFormat="false" ht="13.2" hidden="false" customHeight="false" outlineLevel="0" collapsed="false">
      <c r="A289" s="1" t="n">
        <v>197</v>
      </c>
      <c r="B289" s="12" t="n">
        <f aca="false">RADIANS(Table1[[#This Row],[x]])</f>
        <v>3.43829862642883</v>
      </c>
      <c r="C289" s="12" t="n">
        <f aca="false">SIN(B289)</f>
        <v>-0.292371704722737</v>
      </c>
    </row>
    <row r="290" customFormat="false" ht="13.2" hidden="false" customHeight="false" outlineLevel="0" collapsed="false">
      <c r="A290" s="1" t="n">
        <v>198</v>
      </c>
      <c r="B290" s="12" t="n">
        <f aca="false">RADIANS(Table1[[#This Row],[x]])</f>
        <v>3.45575191894877</v>
      </c>
      <c r="C290" s="12" t="n">
        <f aca="false">SIN(B290)</f>
        <v>-0.309016994374947</v>
      </c>
    </row>
    <row r="291" customFormat="false" ht="13.2" hidden="false" customHeight="false" outlineLevel="0" collapsed="false">
      <c r="A291" s="1" t="n">
        <v>199</v>
      </c>
      <c r="B291" s="12" t="n">
        <f aca="false">RADIANS(Table1[[#This Row],[x]])</f>
        <v>3.47320521146872</v>
      </c>
      <c r="C291" s="12" t="n">
        <f aca="false">SIN(B291)</f>
        <v>-0.325568154457157</v>
      </c>
    </row>
    <row r="292" customFormat="false" ht="13.2" hidden="false" customHeight="false" outlineLevel="0" collapsed="false">
      <c r="A292" s="1" t="n">
        <v>200</v>
      </c>
      <c r="B292" s="12" t="n">
        <f aca="false">RADIANS(Table1[[#This Row],[x]])</f>
        <v>3.49065850398866</v>
      </c>
      <c r="C292" s="12" t="n">
        <f aca="false">SIN(B292)</f>
        <v>-0.342020143325669</v>
      </c>
    </row>
    <row r="293" customFormat="false" ht="13.2" hidden="false" customHeight="false" outlineLevel="0" collapsed="false">
      <c r="A293" s="1" t="n">
        <v>201</v>
      </c>
      <c r="B293" s="12" t="n">
        <f aca="false">RADIANS(Table1[[#This Row],[x]])</f>
        <v>3.5081117965086</v>
      </c>
      <c r="C293" s="12" t="n">
        <f aca="false">SIN(B293)</f>
        <v>-0.3583679495453</v>
      </c>
    </row>
    <row r="294" customFormat="false" ht="13.2" hidden="false" customHeight="false" outlineLevel="0" collapsed="false">
      <c r="A294" s="1" t="n">
        <v>202</v>
      </c>
      <c r="B294" s="12" t="n">
        <f aca="false">RADIANS(Table1[[#This Row],[x]])</f>
        <v>3.52556508902855</v>
      </c>
      <c r="C294" s="12" t="n">
        <f aca="false">SIN(B294)</f>
        <v>-0.374606593415912</v>
      </c>
    </row>
    <row r="295" customFormat="false" ht="13.2" hidden="false" customHeight="false" outlineLevel="0" collapsed="false">
      <c r="A295" s="1" t="n">
        <v>203</v>
      </c>
      <c r="B295" s="12" t="n">
        <f aca="false">RADIANS(Table1[[#This Row],[x]])</f>
        <v>3.54301838154849</v>
      </c>
      <c r="C295" s="12" t="n">
        <f aca="false">SIN(B295)</f>
        <v>-0.390731128489274</v>
      </c>
    </row>
    <row r="296" customFormat="false" ht="13.2" hidden="false" customHeight="false" outlineLevel="0" collapsed="false">
      <c r="A296" s="1" t="n">
        <v>204</v>
      </c>
      <c r="B296" s="12" t="n">
        <f aca="false">RADIANS(Table1[[#This Row],[x]])</f>
        <v>3.56047167406843</v>
      </c>
      <c r="C296" s="12" t="n">
        <f aca="false">SIN(B296)</f>
        <v>-0.4067366430758</v>
      </c>
    </row>
    <row r="297" customFormat="false" ht="13.2" hidden="false" customHeight="false" outlineLevel="0" collapsed="false">
      <c r="A297" s="1" t="n">
        <v>205</v>
      </c>
      <c r="B297" s="12" t="n">
        <f aca="false">RADIANS(Table1[[#This Row],[x]])</f>
        <v>3.57792496658838</v>
      </c>
      <c r="C297" s="12" t="n">
        <f aca="false">SIN(B297)</f>
        <v>-0.422618261740699</v>
      </c>
    </row>
    <row r="298" customFormat="false" ht="13.2" hidden="false" customHeight="false" outlineLevel="0" collapsed="false">
      <c r="A298" s="1" t="n">
        <v>206</v>
      </c>
      <c r="B298" s="12" t="n">
        <f aca="false">RADIANS(Table1[[#This Row],[x]])</f>
        <v>3.59537825910832</v>
      </c>
      <c r="C298" s="12" t="n">
        <f aca="false">SIN(B298)</f>
        <v>-0.438371146789077</v>
      </c>
    </row>
    <row r="299" customFormat="false" ht="13.2" hidden="false" customHeight="false" outlineLevel="0" collapsed="false">
      <c r="A299" s="1" t="n">
        <v>207</v>
      </c>
      <c r="B299" s="12" t="n">
        <f aca="false">RADIANS(Table1[[#This Row],[x]])</f>
        <v>3.61283155162826</v>
      </c>
      <c r="C299" s="12" t="n">
        <f aca="false">SIN(B299)</f>
        <v>-0.453990499739547</v>
      </c>
    </row>
    <row r="300" customFormat="false" ht="13.2" hidden="false" customHeight="false" outlineLevel="0" collapsed="false">
      <c r="A300" s="1" t="n">
        <v>208</v>
      </c>
      <c r="B300" s="12" t="n">
        <f aca="false">RADIANS(Table1[[#This Row],[x]])</f>
        <v>3.63028484414821</v>
      </c>
      <c r="C300" s="12" t="n">
        <f aca="false">SIN(B300)</f>
        <v>-0.469471562785891</v>
      </c>
    </row>
    <row r="301" customFormat="false" ht="13.2" hidden="false" customHeight="false" outlineLevel="0" collapsed="false">
      <c r="A301" s="1" t="n">
        <v>209</v>
      </c>
      <c r="B301" s="12" t="n">
        <f aca="false">RADIANS(Table1[[#This Row],[x]])</f>
        <v>3.64773813666815</v>
      </c>
      <c r="C301" s="12" t="n">
        <f aca="false">SIN(B301)</f>
        <v>-0.484809620246337</v>
      </c>
    </row>
    <row r="302" customFormat="false" ht="13.2" hidden="false" customHeight="false" outlineLevel="0" collapsed="false">
      <c r="A302" s="1" t="n">
        <v>210</v>
      </c>
      <c r="B302" s="12" t="n">
        <f aca="false">RADIANS(Table1[[#This Row],[x]])</f>
        <v>3.66519142918809</v>
      </c>
      <c r="C302" s="12" t="n">
        <f aca="false">SIN(B302)</f>
        <v>-0.5</v>
      </c>
    </row>
    <row r="303" customFormat="false" ht="13.2" hidden="false" customHeight="false" outlineLevel="0" collapsed="false">
      <c r="A303" s="1" t="n">
        <v>211</v>
      </c>
      <c r="B303" s="12" t="n">
        <f aca="false">RADIANS(Table1[[#This Row],[x]])</f>
        <v>3.68264472170804</v>
      </c>
      <c r="C303" s="12" t="n">
        <f aca="false">SIN(B303)</f>
        <v>-0.515038074910054</v>
      </c>
    </row>
    <row r="304" customFormat="false" ht="13.2" hidden="false" customHeight="false" outlineLevel="0" collapsed="false">
      <c r="A304" s="1" t="n">
        <v>212</v>
      </c>
      <c r="B304" s="12" t="n">
        <f aca="false">RADIANS(Table1[[#This Row],[x]])</f>
        <v>3.70009801422798</v>
      </c>
      <c r="C304" s="12" t="n">
        <f aca="false">SIN(B304)</f>
        <v>-0.529919264233205</v>
      </c>
    </row>
    <row r="305" customFormat="false" ht="13.2" hidden="false" customHeight="false" outlineLevel="0" collapsed="false">
      <c r="A305" s="1" t="n">
        <v>213</v>
      </c>
      <c r="B305" s="12" t="n">
        <f aca="false">RADIANS(Table1[[#This Row],[x]])</f>
        <v>3.71755130674792</v>
      </c>
      <c r="C305" s="12" t="n">
        <f aca="false">SIN(B305)</f>
        <v>-0.544639035015027</v>
      </c>
    </row>
    <row r="306" customFormat="false" ht="13.2" hidden="false" customHeight="false" outlineLevel="0" collapsed="false">
      <c r="A306" s="1" t="n">
        <v>214</v>
      </c>
      <c r="B306" s="12" t="n">
        <f aca="false">RADIANS(Table1[[#This Row],[x]])</f>
        <v>3.73500459926786</v>
      </c>
      <c r="C306" s="12" t="n">
        <f aca="false">SIN(B306)</f>
        <v>-0.559192903470747</v>
      </c>
    </row>
    <row r="307" customFormat="false" ht="13.2" hidden="false" customHeight="false" outlineLevel="0" collapsed="false">
      <c r="A307" s="1" t="n">
        <v>215</v>
      </c>
      <c r="B307" s="12" t="n">
        <f aca="false">RADIANS(Table1[[#This Row],[x]])</f>
        <v>3.75245789178781</v>
      </c>
      <c r="C307" s="12" t="n">
        <f aca="false">SIN(B307)</f>
        <v>-0.573576436351046</v>
      </c>
    </row>
    <row r="308" customFormat="false" ht="13.2" hidden="false" customHeight="false" outlineLevel="0" collapsed="false">
      <c r="A308" s="1" t="n">
        <v>216</v>
      </c>
      <c r="B308" s="12" t="n">
        <f aca="false">RADIANS(Table1[[#This Row],[x]])</f>
        <v>3.76991118430775</v>
      </c>
      <c r="C308" s="12" t="n">
        <f aca="false">SIN(B308)</f>
        <v>-0.587785252292473</v>
      </c>
    </row>
    <row r="309" customFormat="false" ht="13.2" hidden="false" customHeight="false" outlineLevel="0" collapsed="false">
      <c r="A309" s="1" t="n">
        <v>217</v>
      </c>
      <c r="B309" s="12" t="n">
        <f aca="false">RADIANS(Table1[[#This Row],[x]])</f>
        <v>3.7873644768277</v>
      </c>
      <c r="C309" s="12" t="n">
        <f aca="false">SIN(B309)</f>
        <v>-0.601815023152048</v>
      </c>
    </row>
    <row r="310" customFormat="false" ht="13.2" hidden="false" customHeight="false" outlineLevel="0" collapsed="false">
      <c r="A310" s="1" t="n">
        <v>218</v>
      </c>
      <c r="B310" s="12" t="n">
        <f aca="false">RADIANS(Table1[[#This Row],[x]])</f>
        <v>3.80481776934764</v>
      </c>
      <c r="C310" s="12" t="n">
        <f aca="false">SIN(B310)</f>
        <v>-0.615661475325658</v>
      </c>
    </row>
    <row r="311" customFormat="false" ht="13.2" hidden="false" customHeight="false" outlineLevel="0" collapsed="false">
      <c r="A311" s="1" t="n">
        <v>219</v>
      </c>
      <c r="B311" s="12" t="n">
        <f aca="false">RADIANS(Table1[[#This Row],[x]])</f>
        <v>3.82227106186758</v>
      </c>
      <c r="C311" s="12" t="n">
        <f aca="false">SIN(B311)</f>
        <v>-0.629320391049838</v>
      </c>
    </row>
    <row r="312" customFormat="false" ht="13.2" hidden="false" customHeight="false" outlineLevel="0" collapsed="false">
      <c r="A312" s="1" t="n">
        <v>220</v>
      </c>
      <c r="B312" s="12" t="n">
        <f aca="false">RADIANS(Table1[[#This Row],[x]])</f>
        <v>3.83972435438752</v>
      </c>
      <c r="C312" s="12" t="n">
        <f aca="false">SIN(B312)</f>
        <v>-0.642787609686539</v>
      </c>
    </row>
    <row r="313" customFormat="false" ht="13.2" hidden="false" customHeight="false" outlineLevel="0" collapsed="false">
      <c r="A313" s="1" t="n">
        <v>221</v>
      </c>
      <c r="B313" s="12" t="n">
        <f aca="false">RADIANS(Table1[[#This Row],[x]])</f>
        <v>3.85717764690747</v>
      </c>
      <c r="C313" s="12" t="n">
        <f aca="false">SIN(B313)</f>
        <v>-0.656059028990507</v>
      </c>
    </row>
    <row r="314" customFormat="false" ht="13.2" hidden="false" customHeight="false" outlineLevel="0" collapsed="false">
      <c r="A314" s="1" t="n">
        <v>222</v>
      </c>
      <c r="B314" s="12" t="n">
        <f aca="false">RADIANS(Table1[[#This Row],[x]])</f>
        <v>3.87463093942741</v>
      </c>
      <c r="C314" s="12" t="n">
        <f aca="false">SIN(B314)</f>
        <v>-0.669130606358858</v>
      </c>
    </row>
    <row r="315" customFormat="false" ht="13.2" hidden="false" customHeight="false" outlineLevel="0" collapsed="false">
      <c r="A315" s="1" t="n">
        <v>223</v>
      </c>
      <c r="B315" s="12" t="n">
        <f aca="false">RADIANS(Table1[[#This Row],[x]])</f>
        <v>3.89208423194735</v>
      </c>
      <c r="C315" s="12" t="n">
        <f aca="false">SIN(B315)</f>
        <v>-0.681998360062498</v>
      </c>
    </row>
    <row r="316" customFormat="false" ht="13.2" hidden="false" customHeight="false" outlineLevel="0" collapsed="false">
      <c r="A316" s="1" t="n">
        <v>224</v>
      </c>
      <c r="B316" s="12" t="n">
        <f aca="false">RADIANS(Table1[[#This Row],[x]])</f>
        <v>3.9095375244673</v>
      </c>
      <c r="C316" s="12" t="n">
        <f aca="false">SIN(B316)</f>
        <v>-0.694658370458997</v>
      </c>
    </row>
    <row r="317" customFormat="false" ht="13.2" hidden="false" customHeight="false" outlineLevel="0" collapsed="false">
      <c r="A317" s="1" t="n">
        <v>225</v>
      </c>
      <c r="B317" s="12" t="n">
        <f aca="false">RADIANS(Table1[[#This Row],[x]])</f>
        <v>3.92699081698724</v>
      </c>
      <c r="C317" s="12" t="n">
        <f aca="false">SIN(B317)</f>
        <v>-0.707106781186547</v>
      </c>
    </row>
    <row r="318" customFormat="false" ht="13.2" hidden="false" customHeight="false" outlineLevel="0" collapsed="false">
      <c r="A318" s="1" t="n">
        <v>226</v>
      </c>
      <c r="B318" s="12" t="n">
        <f aca="false">RADIANS(Table1[[#This Row],[x]])</f>
        <v>3.94444410950718</v>
      </c>
      <c r="C318" s="12" t="n">
        <f aca="false">SIN(B318)</f>
        <v>-0.719339800338651</v>
      </c>
    </row>
    <row r="319" customFormat="false" ht="13.2" hidden="false" customHeight="false" outlineLevel="0" collapsed="false">
      <c r="A319" s="1" t="n">
        <v>227</v>
      </c>
      <c r="B319" s="12" t="n">
        <f aca="false">RADIANS(Table1[[#This Row],[x]])</f>
        <v>3.96189740202713</v>
      </c>
      <c r="C319" s="12" t="n">
        <f aca="false">SIN(B319)</f>
        <v>-0.73135370161917</v>
      </c>
    </row>
    <row r="320" customFormat="false" ht="13.2" hidden="false" customHeight="false" outlineLevel="0" collapsed="false">
      <c r="A320" s="1" t="n">
        <v>228</v>
      </c>
      <c r="B320" s="12" t="n">
        <f aca="false">RADIANS(Table1[[#This Row],[x]])</f>
        <v>3.97935069454707</v>
      </c>
      <c r="C320" s="12" t="n">
        <f aca="false">SIN(B320)</f>
        <v>-0.743144825477394</v>
      </c>
    </row>
    <row r="321" customFormat="false" ht="13.2" hidden="false" customHeight="false" outlineLevel="0" collapsed="false">
      <c r="A321" s="1" t="n">
        <v>229</v>
      </c>
      <c r="B321" s="12" t="n">
        <f aca="false">RADIANS(Table1[[#This Row],[x]])</f>
        <v>3.99680398706701</v>
      </c>
      <c r="C321" s="12" t="n">
        <f aca="false">SIN(B321)</f>
        <v>-0.754709580222772</v>
      </c>
    </row>
    <row r="322" customFormat="false" ht="13.2" hidden="false" customHeight="false" outlineLevel="0" collapsed="false">
      <c r="A322" s="1" t="n">
        <v>230</v>
      </c>
      <c r="B322" s="12" t="n">
        <f aca="false">RADIANS(Table1[[#This Row],[x]])</f>
        <v>4.01425727958696</v>
      </c>
      <c r="C322" s="12" t="n">
        <f aca="false">SIN(B322)</f>
        <v>-0.766044443118978</v>
      </c>
    </row>
    <row r="323" customFormat="false" ht="13.2" hidden="false" customHeight="false" outlineLevel="0" collapsed="false">
      <c r="A323" s="1" t="n">
        <v>231</v>
      </c>
      <c r="B323" s="12" t="n">
        <f aca="false">RADIANS(Table1[[#This Row],[x]])</f>
        <v>4.0317105721069</v>
      </c>
      <c r="C323" s="12" t="n">
        <f aca="false">SIN(B323)</f>
        <v>-0.777145961456971</v>
      </c>
    </row>
    <row r="324" customFormat="false" ht="13.2" hidden="false" customHeight="false" outlineLevel="0" collapsed="false">
      <c r="A324" s="1" t="n">
        <v>232</v>
      </c>
      <c r="B324" s="12" t="n">
        <f aca="false">RADIANS(Table1[[#This Row],[x]])</f>
        <v>4.04916386462685</v>
      </c>
      <c r="C324" s="12" t="n">
        <f aca="false">SIN(B324)</f>
        <v>-0.788010753606722</v>
      </c>
    </row>
    <row r="325" customFormat="false" ht="13.2" hidden="false" customHeight="false" outlineLevel="0" collapsed="false">
      <c r="A325" s="1" t="n">
        <v>233</v>
      </c>
      <c r="B325" s="12" t="n">
        <f aca="false">RADIANS(Table1[[#This Row],[x]])</f>
        <v>4.06661715714679</v>
      </c>
      <c r="C325" s="12" t="n">
        <f aca="false">SIN(B325)</f>
        <v>-0.798635510047293</v>
      </c>
    </row>
    <row r="326" customFormat="false" ht="13.2" hidden="false" customHeight="false" outlineLevel="0" collapsed="false">
      <c r="A326" s="1" t="n">
        <v>234</v>
      </c>
      <c r="B326" s="12" t="n">
        <f aca="false">RADIANS(Table1[[#This Row],[x]])</f>
        <v>4.08407044966673</v>
      </c>
      <c r="C326" s="12" t="n">
        <f aca="false">SIN(B326)</f>
        <v>-0.809016994374947</v>
      </c>
    </row>
    <row r="327" customFormat="false" ht="13.2" hidden="false" customHeight="false" outlineLevel="0" collapsed="false">
      <c r="A327" s="1" t="n">
        <v>235</v>
      </c>
      <c r="B327" s="12" t="n">
        <f aca="false">RADIANS(Table1[[#This Row],[x]])</f>
        <v>4.10152374218667</v>
      </c>
      <c r="C327" s="12" t="n">
        <f aca="false">SIN(B327)</f>
        <v>-0.819152044288992</v>
      </c>
    </row>
    <row r="328" customFormat="false" ht="13.2" hidden="false" customHeight="false" outlineLevel="0" collapsed="false">
      <c r="A328" s="1" t="n">
        <v>236</v>
      </c>
      <c r="B328" s="12" t="n">
        <f aca="false">RADIANS(Table1[[#This Row],[x]])</f>
        <v>4.11897703470662</v>
      </c>
      <c r="C328" s="12" t="n">
        <f aca="false">SIN(B328)</f>
        <v>-0.829037572555042</v>
      </c>
    </row>
    <row r="329" customFormat="false" ht="13.2" hidden="false" customHeight="false" outlineLevel="0" collapsed="false">
      <c r="A329" s="1" t="n">
        <v>237</v>
      </c>
      <c r="B329" s="12" t="n">
        <f aca="false">RADIANS(Table1[[#This Row],[x]])</f>
        <v>4.13643032722656</v>
      </c>
      <c r="C329" s="12" t="n">
        <f aca="false">SIN(B329)</f>
        <v>-0.838670567945424</v>
      </c>
    </row>
    <row r="330" customFormat="false" ht="13.2" hidden="false" customHeight="false" outlineLevel="0" collapsed="false">
      <c r="A330" s="1" t="n">
        <v>238</v>
      </c>
      <c r="B330" s="12" t="n">
        <f aca="false">RADIANS(Table1[[#This Row],[x]])</f>
        <v>4.1538836197465</v>
      </c>
      <c r="C330" s="12" t="n">
        <f aca="false">SIN(B330)</f>
        <v>-0.848048096156426</v>
      </c>
    </row>
    <row r="331" customFormat="false" ht="13.2" hidden="false" customHeight="false" outlineLevel="0" collapsed="false">
      <c r="A331" s="1" t="n">
        <v>239</v>
      </c>
      <c r="B331" s="12" t="n">
        <f aca="false">RADIANS(Table1[[#This Row],[x]])</f>
        <v>4.17133691226645</v>
      </c>
      <c r="C331" s="12" t="n">
        <f aca="false">SIN(B331)</f>
        <v>-0.857167300702112</v>
      </c>
    </row>
    <row r="332" customFormat="false" ht="13.2" hidden="false" customHeight="false" outlineLevel="0" collapsed="false">
      <c r="A332" s="1" t="n">
        <v>240</v>
      </c>
      <c r="B332" s="12" t="n">
        <f aca="false">RADIANS(Table1[[#This Row],[x]])</f>
        <v>4.18879020478639</v>
      </c>
      <c r="C332" s="12" t="n">
        <f aca="false">SIN(B332)</f>
        <v>-0.866025403784438</v>
      </c>
    </row>
    <row r="333" customFormat="false" ht="13.2" hidden="false" customHeight="false" outlineLevel="0" collapsed="false">
      <c r="A333" s="1" t="n">
        <v>241</v>
      </c>
      <c r="B333" s="12" t="n">
        <f aca="false">RADIANS(Table1[[#This Row],[x]])</f>
        <v>4.20624349730633</v>
      </c>
      <c r="C333" s="12" t="n">
        <f aca="false">SIN(B333)</f>
        <v>-0.874619707139396</v>
      </c>
    </row>
    <row r="334" customFormat="false" ht="13.2" hidden="false" customHeight="false" outlineLevel="0" collapsed="false">
      <c r="A334" s="1" t="n">
        <v>242</v>
      </c>
      <c r="B334" s="12" t="n">
        <f aca="false">RADIANS(Table1[[#This Row],[x]])</f>
        <v>4.22369678982628</v>
      </c>
      <c r="C334" s="12" t="n">
        <f aca="false">SIN(B334)</f>
        <v>-0.882947592858927</v>
      </c>
    </row>
    <row r="335" customFormat="false" ht="13.2" hidden="false" customHeight="false" outlineLevel="0" collapsed="false">
      <c r="A335" s="1" t="n">
        <v>243</v>
      </c>
      <c r="B335" s="12" t="n">
        <f aca="false">RADIANS(Table1[[#This Row],[x]])</f>
        <v>4.24115008234622</v>
      </c>
      <c r="C335" s="12" t="n">
        <f aca="false">SIN(B335)</f>
        <v>-0.891006524188368</v>
      </c>
    </row>
    <row r="336" customFormat="false" ht="13.2" hidden="false" customHeight="false" outlineLevel="0" collapsed="false">
      <c r="A336" s="1" t="n">
        <v>244</v>
      </c>
      <c r="B336" s="12" t="n">
        <f aca="false">RADIANS(Table1[[#This Row],[x]])</f>
        <v>4.25860337486616</v>
      </c>
      <c r="C336" s="12" t="n">
        <f aca="false">SIN(B336)</f>
        <v>-0.898794046299167</v>
      </c>
    </row>
    <row r="337" customFormat="false" ht="13.2" hidden="false" customHeight="false" outlineLevel="0" collapsed="false">
      <c r="A337" s="1" t="n">
        <v>245</v>
      </c>
      <c r="B337" s="12" t="n">
        <f aca="false">RADIANS(Table1[[#This Row],[x]])</f>
        <v>4.27605666738611</v>
      </c>
      <c r="C337" s="12" t="n">
        <f aca="false">SIN(B337)</f>
        <v>-0.90630778703665</v>
      </c>
    </row>
    <row r="338" customFormat="false" ht="13.2" hidden="false" customHeight="false" outlineLevel="0" collapsed="false">
      <c r="A338" s="1" t="n">
        <v>246</v>
      </c>
      <c r="B338" s="12" t="n">
        <f aca="false">RADIANS(Table1[[#This Row],[x]])</f>
        <v>4.29350995990605</v>
      </c>
      <c r="C338" s="12" t="n">
        <f aca="false">SIN(B338)</f>
        <v>-0.913545457642601</v>
      </c>
    </row>
    <row r="339" customFormat="false" ht="13.2" hidden="false" customHeight="false" outlineLevel="0" collapsed="false">
      <c r="A339" s="1" t="n">
        <v>247</v>
      </c>
      <c r="B339" s="12" t="n">
        <f aca="false">RADIANS(Table1[[#This Row],[x]])</f>
        <v>4.31096325242599</v>
      </c>
      <c r="C339" s="12" t="n">
        <f aca="false">SIN(B339)</f>
        <v>-0.92050485345244</v>
      </c>
    </row>
    <row r="340" customFormat="false" ht="13.2" hidden="false" customHeight="false" outlineLevel="0" collapsed="false">
      <c r="A340" s="1" t="n">
        <v>248</v>
      </c>
      <c r="B340" s="12" t="n">
        <f aca="false">RADIANS(Table1[[#This Row],[x]])</f>
        <v>4.32841654494594</v>
      </c>
      <c r="C340" s="12" t="n">
        <f aca="false">SIN(B340)</f>
        <v>-0.927183854566787</v>
      </c>
    </row>
    <row r="341" customFormat="false" ht="13.2" hidden="false" customHeight="false" outlineLevel="0" collapsed="false">
      <c r="A341" s="1" t="n">
        <v>249</v>
      </c>
      <c r="B341" s="12" t="n">
        <f aca="false">RADIANS(Table1[[#This Row],[x]])</f>
        <v>4.34586983746588</v>
      </c>
      <c r="C341" s="12" t="n">
        <f aca="false">SIN(B341)</f>
        <v>-0.933580426497202</v>
      </c>
    </row>
    <row r="342" customFormat="false" ht="13.2" hidden="false" customHeight="false" outlineLevel="0" collapsed="false">
      <c r="A342" s="1" t="n">
        <v>250</v>
      </c>
      <c r="B342" s="12" t="n">
        <f aca="false">RADIANS(Table1[[#This Row],[x]])</f>
        <v>4.36332312998582</v>
      </c>
      <c r="C342" s="12" t="n">
        <f aca="false">SIN(B342)</f>
        <v>-0.939692620785908</v>
      </c>
    </row>
    <row r="343" customFormat="false" ht="13.2" hidden="false" customHeight="false" outlineLevel="0" collapsed="false">
      <c r="A343" s="1" t="n">
        <v>251</v>
      </c>
      <c r="B343" s="12" t="n">
        <f aca="false">RADIANS(Table1[[#This Row],[x]])</f>
        <v>4.38077642250577</v>
      </c>
      <c r="C343" s="12" t="n">
        <f aca="false">SIN(B343)</f>
        <v>-0.945518575599317</v>
      </c>
    </row>
    <row r="344" customFormat="false" ht="13.2" hidden="false" customHeight="false" outlineLevel="0" collapsed="false">
      <c r="A344" s="1" t="n">
        <v>252</v>
      </c>
      <c r="B344" s="12" t="n">
        <f aca="false">RADIANS(Table1[[#This Row],[x]])</f>
        <v>4.39822971502571</v>
      </c>
      <c r="C344" s="12" t="n">
        <f aca="false">SIN(B344)</f>
        <v>-0.951056516295153</v>
      </c>
    </row>
    <row r="345" customFormat="false" ht="13.2" hidden="false" customHeight="false" outlineLevel="0" collapsed="false">
      <c r="A345" s="1" t="n">
        <v>253</v>
      </c>
      <c r="B345" s="12" t="n">
        <f aca="false">RADIANS(Table1[[#This Row],[x]])</f>
        <v>4.41568300754565</v>
      </c>
      <c r="C345" s="12" t="n">
        <f aca="false">SIN(B345)</f>
        <v>-0.956304755963035</v>
      </c>
    </row>
    <row r="346" customFormat="false" ht="13.2" hidden="false" customHeight="false" outlineLevel="0" collapsed="false">
      <c r="A346" s="1" t="n">
        <v>254</v>
      </c>
      <c r="B346" s="12" t="n">
        <f aca="false">RADIANS(Table1[[#This Row],[x]])</f>
        <v>4.4331363000656</v>
      </c>
      <c r="C346" s="12" t="n">
        <f aca="false">SIN(B346)</f>
        <v>-0.961261695938319</v>
      </c>
    </row>
    <row r="347" customFormat="false" ht="13.2" hidden="false" customHeight="false" outlineLevel="0" collapsed="false">
      <c r="A347" s="1" t="n">
        <v>255</v>
      </c>
      <c r="B347" s="12" t="n">
        <f aca="false">RADIANS(Table1[[#This Row],[x]])</f>
        <v>4.45058959258554</v>
      </c>
      <c r="C347" s="12" t="n">
        <f aca="false">SIN(B347)</f>
        <v>-0.965925826289068</v>
      </c>
    </row>
    <row r="348" customFormat="false" ht="13.2" hidden="false" customHeight="false" outlineLevel="0" collapsed="false">
      <c r="A348" s="1" t="n">
        <v>256</v>
      </c>
      <c r="B348" s="12" t="n">
        <f aca="false">RADIANS(Table1[[#This Row],[x]])</f>
        <v>4.46804288510548</v>
      </c>
      <c r="C348" s="12" t="n">
        <f aca="false">SIN(B348)</f>
        <v>-0.970295726275996</v>
      </c>
    </row>
    <row r="349" customFormat="false" ht="13.2" hidden="false" customHeight="false" outlineLevel="0" collapsed="false">
      <c r="A349" s="1" t="n">
        <v>257</v>
      </c>
      <c r="B349" s="12" t="n">
        <f aca="false">RADIANS(Table1[[#This Row],[x]])</f>
        <v>4.48549617762543</v>
      </c>
      <c r="C349" s="12" t="n">
        <f aca="false">SIN(B349)</f>
        <v>-0.974370064785235</v>
      </c>
    </row>
    <row r="350" customFormat="false" ht="13.2" hidden="false" customHeight="false" outlineLevel="0" collapsed="false">
      <c r="A350" s="1" t="n">
        <v>258</v>
      </c>
      <c r="B350" s="12" t="n">
        <f aca="false">RADIANS(Table1[[#This Row],[x]])</f>
        <v>4.50294947014537</v>
      </c>
      <c r="C350" s="12" t="n">
        <f aca="false">SIN(B350)</f>
        <v>-0.978147600733806</v>
      </c>
    </row>
    <row r="351" customFormat="false" ht="13.2" hidden="false" customHeight="false" outlineLevel="0" collapsed="false">
      <c r="A351" s="1" t="n">
        <v>259</v>
      </c>
      <c r="B351" s="12" t="n">
        <f aca="false">RADIANS(Table1[[#This Row],[x]])</f>
        <v>4.52040276266531</v>
      </c>
      <c r="C351" s="12" t="n">
        <f aca="false">SIN(B351)</f>
        <v>-0.981627183447664</v>
      </c>
    </row>
    <row r="352" customFormat="false" ht="13.2" hidden="false" customHeight="false" outlineLevel="0" collapsed="false">
      <c r="A352" s="1" t="n">
        <v>260</v>
      </c>
      <c r="B352" s="12" t="n">
        <f aca="false">RADIANS(Table1[[#This Row],[x]])</f>
        <v>4.53785605518526</v>
      </c>
      <c r="C352" s="12" t="n">
        <f aca="false">SIN(B352)</f>
        <v>-0.984807753012208</v>
      </c>
    </row>
    <row r="353" customFormat="false" ht="13.2" hidden="false" customHeight="false" outlineLevel="0" collapsed="false">
      <c r="A353" s="1" t="n">
        <v>261</v>
      </c>
      <c r="B353" s="12" t="n">
        <f aca="false">RADIANS(Table1[[#This Row],[x]])</f>
        <v>4.5553093477052</v>
      </c>
      <c r="C353" s="12" t="n">
        <f aca="false">SIN(B353)</f>
        <v>-0.987688340595138</v>
      </c>
    </row>
    <row r="354" customFormat="false" ht="13.2" hidden="false" customHeight="false" outlineLevel="0" collapsed="false">
      <c r="A354" s="1" t="n">
        <v>262</v>
      </c>
      <c r="B354" s="12" t="n">
        <f aca="false">RADIANS(Table1[[#This Row],[x]])</f>
        <v>4.57276264022514</v>
      </c>
      <c r="C354" s="12" t="n">
        <f aca="false">SIN(B354)</f>
        <v>-0.99026806874157</v>
      </c>
    </row>
    <row r="355" customFormat="false" ht="13.2" hidden="false" customHeight="false" outlineLevel="0" collapsed="false">
      <c r="A355" s="1" t="n">
        <v>263</v>
      </c>
      <c r="B355" s="12" t="n">
        <f aca="false">RADIANS(Table1[[#This Row],[x]])</f>
        <v>4.59021593274509</v>
      </c>
      <c r="C355" s="12" t="n">
        <f aca="false">SIN(B355)</f>
        <v>-0.992546151641322</v>
      </c>
    </row>
    <row r="356" customFormat="false" ht="13.2" hidden="false" customHeight="false" outlineLevel="0" collapsed="false">
      <c r="A356" s="1" t="n">
        <v>264</v>
      </c>
      <c r="B356" s="12" t="n">
        <f aca="false">RADIANS(Table1[[#This Row],[x]])</f>
        <v>4.60766922526503</v>
      </c>
      <c r="C356" s="12" t="n">
        <f aca="false">SIN(B356)</f>
        <v>-0.994521895368273</v>
      </c>
    </row>
    <row r="357" customFormat="false" ht="13.2" hidden="false" customHeight="false" outlineLevel="0" collapsed="false">
      <c r="A357" s="1" t="n">
        <v>265</v>
      </c>
      <c r="B357" s="12" t="n">
        <f aca="false">RADIANS(Table1[[#This Row],[x]])</f>
        <v>4.62512251778497</v>
      </c>
      <c r="C357" s="12" t="n">
        <f aca="false">SIN(B357)</f>
        <v>-0.996194698091746</v>
      </c>
    </row>
    <row r="358" customFormat="false" ht="13.2" hidden="false" customHeight="false" outlineLevel="0" collapsed="false">
      <c r="A358" s="1" t="n">
        <v>266</v>
      </c>
      <c r="B358" s="12" t="n">
        <f aca="false">RADIANS(Table1[[#This Row],[x]])</f>
        <v>4.64257581030492</v>
      </c>
      <c r="C358" s="12" t="n">
        <f aca="false">SIN(B358)</f>
        <v>-0.997564050259824</v>
      </c>
    </row>
    <row r="359" customFormat="false" ht="13.2" hidden="false" customHeight="false" outlineLevel="0" collapsed="false">
      <c r="A359" s="1" t="n">
        <v>267</v>
      </c>
      <c r="B359" s="12" t="n">
        <f aca="false">RADIANS(Table1[[#This Row],[x]])</f>
        <v>4.66002910282486</v>
      </c>
      <c r="C359" s="12" t="n">
        <f aca="false">SIN(B359)</f>
        <v>-0.998629534754574</v>
      </c>
    </row>
    <row r="360" customFormat="false" ht="13.2" hidden="false" customHeight="false" outlineLevel="0" collapsed="false">
      <c r="A360" s="1" t="n">
        <v>268</v>
      </c>
      <c r="B360" s="12" t="n">
        <f aca="false">RADIANS(Table1[[#This Row],[x]])</f>
        <v>4.6774823953448</v>
      </c>
      <c r="C360" s="12" t="n">
        <f aca="false">SIN(B360)</f>
        <v>-0.999390827019096</v>
      </c>
    </row>
    <row r="361" customFormat="false" ht="13.2" hidden="false" customHeight="false" outlineLevel="0" collapsed="false">
      <c r="A361" s="1" t="n">
        <v>269</v>
      </c>
      <c r="B361" s="12" t="n">
        <f aca="false">RADIANS(Table1[[#This Row],[x]])</f>
        <v>4.69493568786475</v>
      </c>
      <c r="C361" s="12" t="n">
        <f aca="false">SIN(B361)</f>
        <v>-0.999847695156391</v>
      </c>
    </row>
    <row r="362" customFormat="false" ht="13.2" hidden="false" customHeight="false" outlineLevel="0" collapsed="false">
      <c r="A362" s="1" t="n">
        <v>270</v>
      </c>
      <c r="B362" s="12" t="n">
        <f aca="false">RADIANS(Table1[[#This Row],[x]])</f>
        <v>4.71238898038469</v>
      </c>
      <c r="C362" s="12" t="n">
        <f aca="false">SIN(B362)</f>
        <v>-1</v>
      </c>
    </row>
    <row r="363" customFormat="false" ht="13.2" hidden="false" customHeight="false" outlineLevel="0" collapsed="false">
      <c r="A363" s="1" t="n">
        <v>271</v>
      </c>
      <c r="B363" s="12" t="n">
        <f aca="false">RADIANS(Table1[[#This Row],[x]])</f>
        <v>4.72984227290463</v>
      </c>
      <c r="C363" s="12" t="n">
        <f aca="false">SIN(B363)</f>
        <v>-0.999847695156391</v>
      </c>
    </row>
    <row r="364" customFormat="false" ht="13.2" hidden="false" customHeight="false" outlineLevel="0" collapsed="false">
      <c r="A364" s="1" t="n">
        <v>272</v>
      </c>
      <c r="B364" s="12" t="n">
        <f aca="false">RADIANS(Table1[[#This Row],[x]])</f>
        <v>4.74729556542458</v>
      </c>
      <c r="C364" s="12" t="n">
        <f aca="false">SIN(B364)</f>
        <v>-0.999390827019096</v>
      </c>
    </row>
    <row r="365" customFormat="false" ht="13.2" hidden="false" customHeight="false" outlineLevel="0" collapsed="false">
      <c r="A365" s="1" t="n">
        <v>273</v>
      </c>
      <c r="B365" s="12" t="n">
        <f aca="false">RADIANS(Table1[[#This Row],[x]])</f>
        <v>4.76474885794452</v>
      </c>
      <c r="C365" s="12" t="n">
        <f aca="false">SIN(B365)</f>
        <v>-0.998629534754574</v>
      </c>
    </row>
    <row r="366" customFormat="false" ht="13.2" hidden="false" customHeight="false" outlineLevel="0" collapsed="false">
      <c r="A366" s="1" t="n">
        <v>274</v>
      </c>
      <c r="B366" s="12" t="n">
        <f aca="false">RADIANS(Table1[[#This Row],[x]])</f>
        <v>4.78220215046446</v>
      </c>
      <c r="C366" s="12" t="n">
        <f aca="false">SIN(B366)</f>
        <v>-0.997564050259824</v>
      </c>
    </row>
    <row r="367" customFormat="false" ht="13.2" hidden="false" customHeight="false" outlineLevel="0" collapsed="false">
      <c r="A367" s="1" t="n">
        <v>275</v>
      </c>
      <c r="B367" s="12" t="n">
        <f aca="false">RADIANS(Table1[[#This Row],[x]])</f>
        <v>4.79965544298441</v>
      </c>
      <c r="C367" s="12" t="n">
        <f aca="false">SIN(B367)</f>
        <v>-0.996194698091746</v>
      </c>
    </row>
    <row r="368" customFormat="false" ht="13.2" hidden="false" customHeight="false" outlineLevel="0" collapsed="false">
      <c r="A368" s="1" t="n">
        <v>276</v>
      </c>
      <c r="B368" s="12" t="n">
        <f aca="false">RADIANS(Table1[[#This Row],[x]])</f>
        <v>4.81710873550435</v>
      </c>
      <c r="C368" s="12" t="n">
        <f aca="false">SIN(B368)</f>
        <v>-0.994521895368273</v>
      </c>
    </row>
    <row r="369" customFormat="false" ht="13.2" hidden="false" customHeight="false" outlineLevel="0" collapsed="false">
      <c r="A369" s="1" t="n">
        <v>277</v>
      </c>
      <c r="B369" s="12" t="n">
        <f aca="false">RADIANS(Table1[[#This Row],[x]])</f>
        <v>4.83456202802429</v>
      </c>
      <c r="C369" s="12" t="n">
        <f aca="false">SIN(B369)</f>
        <v>-0.992546151641322</v>
      </c>
    </row>
    <row r="370" customFormat="false" ht="13.2" hidden="false" customHeight="false" outlineLevel="0" collapsed="false">
      <c r="A370" s="1" t="n">
        <v>278</v>
      </c>
      <c r="B370" s="12" t="n">
        <f aca="false">RADIANS(Table1[[#This Row],[x]])</f>
        <v>4.85201532054424</v>
      </c>
      <c r="C370" s="12" t="n">
        <f aca="false">SIN(B370)</f>
        <v>-0.99026806874157</v>
      </c>
    </row>
    <row r="371" customFormat="false" ht="13.2" hidden="false" customHeight="false" outlineLevel="0" collapsed="false">
      <c r="A371" s="1" t="n">
        <v>279</v>
      </c>
      <c r="B371" s="12" t="n">
        <f aca="false">RADIANS(Table1[[#This Row],[x]])</f>
        <v>4.86946861306418</v>
      </c>
      <c r="C371" s="12" t="n">
        <f aca="false">SIN(B371)</f>
        <v>-0.987688340595138</v>
      </c>
    </row>
    <row r="372" customFormat="false" ht="13.2" hidden="false" customHeight="false" outlineLevel="0" collapsed="false">
      <c r="A372" s="1" t="n">
        <v>280</v>
      </c>
      <c r="B372" s="12" t="n">
        <f aca="false">RADIANS(Table1[[#This Row],[x]])</f>
        <v>4.88692190558412</v>
      </c>
      <c r="C372" s="12" t="n">
        <f aca="false">SIN(B372)</f>
        <v>-0.984807753012208</v>
      </c>
    </row>
    <row r="373" customFormat="false" ht="13.2" hidden="false" customHeight="false" outlineLevel="0" collapsed="false">
      <c r="A373" s="1" t="n">
        <v>281</v>
      </c>
      <c r="B373" s="12" t="n">
        <f aca="false">RADIANS(Table1[[#This Row],[x]])</f>
        <v>4.90437519810407</v>
      </c>
      <c r="C373" s="12" t="n">
        <f aca="false">SIN(B373)</f>
        <v>-0.981627183447664</v>
      </c>
    </row>
    <row r="374" customFormat="false" ht="13.2" hidden="false" customHeight="false" outlineLevel="0" collapsed="false">
      <c r="A374" s="1" t="n">
        <v>282</v>
      </c>
      <c r="B374" s="12" t="n">
        <f aca="false">RADIANS(Table1[[#This Row],[x]])</f>
        <v>4.92182849062401</v>
      </c>
      <c r="C374" s="12" t="n">
        <f aca="false">SIN(B374)</f>
        <v>-0.978147600733806</v>
      </c>
    </row>
    <row r="375" customFormat="false" ht="13.2" hidden="false" customHeight="false" outlineLevel="0" collapsed="false">
      <c r="A375" s="1" t="n">
        <v>283</v>
      </c>
      <c r="B375" s="12" t="n">
        <f aca="false">RADIANS(Table1[[#This Row],[x]])</f>
        <v>4.93928178314395</v>
      </c>
      <c r="C375" s="12" t="n">
        <f aca="false">SIN(B375)</f>
        <v>-0.974370064785235</v>
      </c>
    </row>
    <row r="376" customFormat="false" ht="13.2" hidden="false" customHeight="false" outlineLevel="0" collapsed="false">
      <c r="A376" s="1" t="n">
        <v>284</v>
      </c>
      <c r="B376" s="12" t="n">
        <f aca="false">RADIANS(Table1[[#This Row],[x]])</f>
        <v>4.9567350756639</v>
      </c>
      <c r="C376" s="12" t="n">
        <f aca="false">SIN(B376)</f>
        <v>-0.970295726275996</v>
      </c>
    </row>
    <row r="377" customFormat="false" ht="13.2" hidden="false" customHeight="false" outlineLevel="0" collapsed="false">
      <c r="A377" s="1" t="n">
        <v>285</v>
      </c>
      <c r="B377" s="12" t="n">
        <f aca="false">RADIANS(Table1[[#This Row],[x]])</f>
        <v>4.97418836818384</v>
      </c>
      <c r="C377" s="12" t="n">
        <f aca="false">SIN(B377)</f>
        <v>-0.965925826289068</v>
      </c>
    </row>
    <row r="378" customFormat="false" ht="13.2" hidden="false" customHeight="false" outlineLevel="0" collapsed="false">
      <c r="A378" s="1" t="n">
        <v>286</v>
      </c>
      <c r="B378" s="12" t="n">
        <f aca="false">RADIANS(Table1[[#This Row],[x]])</f>
        <v>4.99164166070378</v>
      </c>
      <c r="C378" s="12" t="n">
        <f aca="false">SIN(B378)</f>
        <v>-0.961261695938319</v>
      </c>
    </row>
    <row r="379" customFormat="false" ht="13.2" hidden="false" customHeight="false" outlineLevel="0" collapsed="false">
      <c r="A379" s="1" t="n">
        <v>287</v>
      </c>
      <c r="B379" s="12" t="n">
        <f aca="false">RADIANS(Table1[[#This Row],[x]])</f>
        <v>5.00909495322373</v>
      </c>
      <c r="C379" s="12" t="n">
        <f aca="false">SIN(B379)</f>
        <v>-0.956304755963035</v>
      </c>
    </row>
    <row r="380" customFormat="false" ht="13.2" hidden="false" customHeight="false" outlineLevel="0" collapsed="false">
      <c r="A380" s="1" t="n">
        <v>288</v>
      </c>
      <c r="B380" s="12" t="n">
        <f aca="false">RADIANS(Table1[[#This Row],[x]])</f>
        <v>5.02654824574367</v>
      </c>
      <c r="C380" s="12" t="n">
        <f aca="false">SIN(B380)</f>
        <v>-0.951056516295154</v>
      </c>
    </row>
    <row r="381" customFormat="false" ht="13.2" hidden="false" customHeight="false" outlineLevel="0" collapsed="false">
      <c r="A381" s="1" t="n">
        <v>289</v>
      </c>
      <c r="B381" s="12" t="n">
        <f aca="false">RADIANS(Table1[[#This Row],[x]])</f>
        <v>5.04400153826361</v>
      </c>
      <c r="C381" s="12" t="n">
        <f aca="false">SIN(B381)</f>
        <v>-0.945518575599317</v>
      </c>
    </row>
    <row r="382" customFormat="false" ht="13.2" hidden="false" customHeight="false" outlineLevel="0" collapsed="false">
      <c r="A382" s="1" t="n">
        <v>290</v>
      </c>
      <c r="B382" s="12" t="n">
        <f aca="false">RADIANS(Table1[[#This Row],[x]])</f>
        <v>5.06145483078356</v>
      </c>
      <c r="C382" s="12" t="n">
        <f aca="false">SIN(B382)</f>
        <v>-0.939692620785908</v>
      </c>
    </row>
    <row r="383" customFormat="false" ht="13.2" hidden="false" customHeight="false" outlineLevel="0" collapsed="false">
      <c r="A383" s="1" t="n">
        <v>291</v>
      </c>
      <c r="B383" s="12" t="n">
        <f aca="false">RADIANS(Table1[[#This Row],[x]])</f>
        <v>5.0789081233035</v>
      </c>
      <c r="C383" s="12" t="n">
        <f aca="false">SIN(B383)</f>
        <v>-0.933580426497202</v>
      </c>
    </row>
    <row r="384" customFormat="false" ht="13.2" hidden="false" customHeight="false" outlineLevel="0" collapsed="false">
      <c r="A384" s="1" t="n">
        <v>292</v>
      </c>
      <c r="B384" s="12" t="n">
        <f aca="false">RADIANS(Table1[[#This Row],[x]])</f>
        <v>5.09636141582344</v>
      </c>
      <c r="C384" s="12" t="n">
        <f aca="false">SIN(B384)</f>
        <v>-0.927183854566787</v>
      </c>
    </row>
    <row r="385" customFormat="false" ht="13.2" hidden="false" customHeight="false" outlineLevel="0" collapsed="false">
      <c r="A385" s="1" t="n">
        <v>293</v>
      </c>
      <c r="B385" s="12" t="n">
        <f aca="false">RADIANS(Table1[[#This Row],[x]])</f>
        <v>5.11381470834339</v>
      </c>
      <c r="C385" s="12" t="n">
        <f aca="false">SIN(B385)</f>
        <v>-0.920504853452441</v>
      </c>
    </row>
    <row r="386" customFormat="false" ht="13.2" hidden="false" customHeight="false" outlineLevel="0" collapsed="false">
      <c r="A386" s="1" t="n">
        <v>294</v>
      </c>
      <c r="B386" s="12" t="n">
        <f aca="false">RADIANS(Table1[[#This Row],[x]])</f>
        <v>5.13126800086333</v>
      </c>
      <c r="C386" s="12" t="n">
        <f aca="false">SIN(B386)</f>
        <v>-0.913545457642601</v>
      </c>
    </row>
    <row r="387" customFormat="false" ht="13.2" hidden="false" customHeight="false" outlineLevel="0" collapsed="false">
      <c r="A387" s="1" t="n">
        <v>295</v>
      </c>
      <c r="B387" s="12" t="n">
        <f aca="false">RADIANS(Table1[[#This Row],[x]])</f>
        <v>5.14872129338327</v>
      </c>
      <c r="C387" s="12" t="n">
        <f aca="false">SIN(B387)</f>
        <v>-0.90630778703665</v>
      </c>
    </row>
    <row r="388" customFormat="false" ht="13.2" hidden="false" customHeight="false" outlineLevel="0" collapsed="false">
      <c r="A388" s="1" t="n">
        <v>296</v>
      </c>
      <c r="B388" s="12" t="n">
        <f aca="false">RADIANS(Table1[[#This Row],[x]])</f>
        <v>5.16617458590322</v>
      </c>
      <c r="C388" s="12" t="n">
        <f aca="false">SIN(B388)</f>
        <v>-0.898794046299167</v>
      </c>
    </row>
    <row r="389" customFormat="false" ht="13.2" hidden="false" customHeight="false" outlineLevel="0" collapsed="false">
      <c r="A389" s="1" t="n">
        <v>297</v>
      </c>
      <c r="B389" s="12" t="n">
        <f aca="false">RADIANS(Table1[[#This Row],[x]])</f>
        <v>5.18362787842316</v>
      </c>
      <c r="C389" s="12" t="n">
        <f aca="false">SIN(B389)</f>
        <v>-0.891006524188368</v>
      </c>
    </row>
    <row r="390" customFormat="false" ht="13.2" hidden="false" customHeight="false" outlineLevel="0" collapsed="false">
      <c r="A390" s="1" t="n">
        <v>298</v>
      </c>
      <c r="B390" s="12" t="n">
        <f aca="false">RADIANS(Table1[[#This Row],[x]])</f>
        <v>5.2010811709431</v>
      </c>
      <c r="C390" s="12" t="n">
        <f aca="false">SIN(B390)</f>
        <v>-0.882947592858927</v>
      </c>
    </row>
    <row r="391" customFormat="false" ht="13.2" hidden="false" customHeight="false" outlineLevel="0" collapsed="false">
      <c r="A391" s="1" t="n">
        <v>299</v>
      </c>
      <c r="B391" s="12" t="n">
        <f aca="false">RADIANS(Table1[[#This Row],[x]])</f>
        <v>5.21853446346305</v>
      </c>
      <c r="C391" s="12" t="n">
        <f aca="false">SIN(B391)</f>
        <v>-0.874619707139396</v>
      </c>
    </row>
    <row r="392" customFormat="false" ht="13.2" hidden="false" customHeight="false" outlineLevel="0" collapsed="false">
      <c r="A392" s="1" t="n">
        <v>300</v>
      </c>
      <c r="B392" s="12" t="n">
        <f aca="false">RADIANS(Table1[[#This Row],[x]])</f>
        <v>5.23598775598299</v>
      </c>
      <c r="C392" s="12" t="n">
        <f aca="false">SIN(B392)</f>
        <v>-0.866025403784439</v>
      </c>
    </row>
    <row r="393" customFormat="false" ht="13.2" hidden="false" customHeight="false" outlineLevel="0" collapsed="false">
      <c r="A393" s="1" t="n">
        <v>301</v>
      </c>
      <c r="B393" s="12" t="n">
        <f aca="false">RADIANS(Table1[[#This Row],[x]])</f>
        <v>5.25344104850293</v>
      </c>
      <c r="C393" s="12" t="n">
        <f aca="false">SIN(B393)</f>
        <v>-0.857167300702112</v>
      </c>
    </row>
    <row r="394" customFormat="false" ht="13.2" hidden="false" customHeight="false" outlineLevel="0" collapsed="false">
      <c r="A394" s="1" t="n">
        <v>302</v>
      </c>
      <c r="B394" s="12" t="n">
        <f aca="false">RADIANS(Table1[[#This Row],[x]])</f>
        <v>5.27089434102288</v>
      </c>
      <c r="C394" s="12" t="n">
        <f aca="false">SIN(B394)</f>
        <v>-0.848048096156426</v>
      </c>
    </row>
    <row r="395" customFormat="false" ht="13.2" hidden="false" customHeight="false" outlineLevel="0" collapsed="false">
      <c r="A395" s="1" t="n">
        <v>303</v>
      </c>
      <c r="B395" s="12" t="n">
        <f aca="false">RADIANS(Table1[[#This Row],[x]])</f>
        <v>5.28834763354282</v>
      </c>
      <c r="C395" s="12" t="n">
        <f aca="false">SIN(B395)</f>
        <v>-0.838670567945424</v>
      </c>
    </row>
    <row r="396" customFormat="false" ht="13.2" hidden="false" customHeight="false" outlineLevel="0" collapsed="false">
      <c r="A396" s="1" t="n">
        <v>304</v>
      </c>
      <c r="B396" s="12" t="n">
        <f aca="false">RADIANS(Table1[[#This Row],[x]])</f>
        <v>5.30580092606276</v>
      </c>
      <c r="C396" s="12" t="n">
        <f aca="false">SIN(B396)</f>
        <v>-0.829037572555042</v>
      </c>
    </row>
    <row r="397" customFormat="false" ht="13.2" hidden="false" customHeight="false" outlineLevel="0" collapsed="false">
      <c r="A397" s="1" t="n">
        <v>305</v>
      </c>
      <c r="B397" s="12" t="n">
        <f aca="false">RADIANS(Table1[[#This Row],[x]])</f>
        <v>5.32325421858271</v>
      </c>
      <c r="C397" s="12" t="n">
        <f aca="false">SIN(B397)</f>
        <v>-0.819152044288992</v>
      </c>
    </row>
    <row r="398" customFormat="false" ht="13.2" hidden="false" customHeight="false" outlineLevel="0" collapsed="false">
      <c r="A398" s="1" t="n">
        <v>306</v>
      </c>
      <c r="B398" s="12" t="n">
        <f aca="false">RADIANS(Table1[[#This Row],[x]])</f>
        <v>5.34070751110265</v>
      </c>
      <c r="C398" s="12" t="n">
        <f aca="false">SIN(B398)</f>
        <v>-0.809016994374947</v>
      </c>
    </row>
    <row r="399" customFormat="false" ht="13.2" hidden="false" customHeight="false" outlineLevel="0" collapsed="false">
      <c r="A399" s="1" t="n">
        <v>307</v>
      </c>
      <c r="B399" s="12" t="n">
        <f aca="false">RADIANS(Table1[[#This Row],[x]])</f>
        <v>5.35816080362259</v>
      </c>
      <c r="C399" s="12" t="n">
        <f aca="false">SIN(B399)</f>
        <v>-0.798635510047293</v>
      </c>
    </row>
    <row r="400" customFormat="false" ht="13.2" hidden="false" customHeight="false" outlineLevel="0" collapsed="false">
      <c r="A400" s="1" t="n">
        <v>308</v>
      </c>
      <c r="B400" s="12" t="n">
        <f aca="false">RADIANS(Table1[[#This Row],[x]])</f>
        <v>5.37561409614254</v>
      </c>
      <c r="C400" s="12" t="n">
        <f aca="false">SIN(B400)</f>
        <v>-0.788010753606722</v>
      </c>
    </row>
    <row r="401" customFormat="false" ht="13.2" hidden="false" customHeight="false" outlineLevel="0" collapsed="false">
      <c r="A401" s="1" t="n">
        <v>309</v>
      </c>
      <c r="B401" s="12" t="n">
        <f aca="false">RADIANS(Table1[[#This Row],[x]])</f>
        <v>5.39306738866248</v>
      </c>
      <c r="C401" s="12" t="n">
        <f aca="false">SIN(B401)</f>
        <v>-0.777145961456971</v>
      </c>
    </row>
    <row r="402" customFormat="false" ht="13.2" hidden="false" customHeight="false" outlineLevel="0" collapsed="false">
      <c r="A402" s="1" t="n">
        <v>310</v>
      </c>
      <c r="B402" s="12" t="n">
        <f aca="false">RADIANS(Table1[[#This Row],[x]])</f>
        <v>5.41052068118242</v>
      </c>
      <c r="C402" s="12" t="n">
        <f aca="false">SIN(B402)</f>
        <v>-0.766044443118978</v>
      </c>
    </row>
    <row r="403" customFormat="false" ht="13.2" hidden="false" customHeight="false" outlineLevel="0" collapsed="false">
      <c r="A403" s="1" t="n">
        <v>311</v>
      </c>
      <c r="B403" s="12" t="n">
        <f aca="false">RADIANS(Table1[[#This Row],[x]])</f>
        <v>5.42797397370237</v>
      </c>
      <c r="C403" s="12" t="n">
        <f aca="false">SIN(B403)</f>
        <v>-0.754709580222772</v>
      </c>
    </row>
    <row r="404" customFormat="false" ht="13.2" hidden="false" customHeight="false" outlineLevel="0" collapsed="false">
      <c r="A404" s="1" t="n">
        <v>312</v>
      </c>
      <c r="B404" s="12" t="n">
        <f aca="false">RADIANS(Table1[[#This Row],[x]])</f>
        <v>5.44542726622231</v>
      </c>
      <c r="C404" s="12" t="n">
        <f aca="false">SIN(B404)</f>
        <v>-0.743144825477395</v>
      </c>
    </row>
    <row r="405" customFormat="false" ht="13.2" hidden="false" customHeight="false" outlineLevel="0" collapsed="false">
      <c r="A405" s="1" t="n">
        <v>313</v>
      </c>
      <c r="B405" s="12" t="n">
        <f aca="false">RADIANS(Table1[[#This Row],[x]])</f>
        <v>5.46288055874225</v>
      </c>
      <c r="C405" s="12" t="n">
        <f aca="false">SIN(B405)</f>
        <v>-0.73135370161917</v>
      </c>
    </row>
    <row r="406" customFormat="false" ht="13.2" hidden="false" customHeight="false" outlineLevel="0" collapsed="false">
      <c r="A406" s="1" t="n">
        <v>314</v>
      </c>
      <c r="B406" s="12" t="n">
        <f aca="false">RADIANS(Table1[[#This Row],[x]])</f>
        <v>5.4803338512622</v>
      </c>
      <c r="C406" s="12" t="n">
        <f aca="false">SIN(B406)</f>
        <v>-0.719339800338651</v>
      </c>
    </row>
    <row r="407" customFormat="false" ht="13.2" hidden="false" customHeight="false" outlineLevel="0" collapsed="false">
      <c r="A407" s="1" t="n">
        <v>315</v>
      </c>
      <c r="B407" s="12" t="n">
        <f aca="false">RADIANS(Table1[[#This Row],[x]])</f>
        <v>5.49778714378214</v>
      </c>
      <c r="C407" s="12" t="n">
        <f aca="false">SIN(B407)</f>
        <v>-0.707106781186548</v>
      </c>
    </row>
    <row r="408" customFormat="false" ht="13.2" hidden="false" customHeight="false" outlineLevel="0" collapsed="false">
      <c r="A408" s="1" t="n">
        <v>316</v>
      </c>
      <c r="B408" s="12" t="n">
        <f aca="false">RADIANS(Table1[[#This Row],[x]])</f>
        <v>5.51524043630208</v>
      </c>
      <c r="C408" s="12" t="n">
        <f aca="false">SIN(B408)</f>
        <v>-0.694658370458998</v>
      </c>
    </row>
    <row r="409" customFormat="false" ht="13.2" hidden="false" customHeight="false" outlineLevel="0" collapsed="false">
      <c r="A409" s="1" t="n">
        <v>317</v>
      </c>
      <c r="B409" s="12" t="n">
        <f aca="false">RADIANS(Table1[[#This Row],[x]])</f>
        <v>5.53269372882203</v>
      </c>
      <c r="C409" s="12" t="n">
        <f aca="false">SIN(B409)</f>
        <v>-0.681998360062498</v>
      </c>
    </row>
    <row r="410" customFormat="false" ht="13.2" hidden="false" customHeight="false" outlineLevel="0" collapsed="false">
      <c r="A410" s="1" t="n">
        <v>318</v>
      </c>
      <c r="B410" s="12" t="n">
        <f aca="false">RADIANS(Table1[[#This Row],[x]])</f>
        <v>5.55014702134197</v>
      </c>
      <c r="C410" s="12" t="n">
        <f aca="false">SIN(B410)</f>
        <v>-0.669130606358858</v>
      </c>
    </row>
    <row r="411" customFormat="false" ht="13.2" hidden="false" customHeight="false" outlineLevel="0" collapsed="false">
      <c r="A411" s="1" t="n">
        <v>319</v>
      </c>
      <c r="B411" s="12" t="n">
        <f aca="false">RADIANS(Table1[[#This Row],[x]])</f>
        <v>5.56760031386191</v>
      </c>
      <c r="C411" s="12" t="n">
        <f aca="false">SIN(B411)</f>
        <v>-0.656059028990507</v>
      </c>
    </row>
    <row r="412" customFormat="false" ht="13.2" hidden="false" customHeight="false" outlineLevel="0" collapsed="false">
      <c r="A412" s="1" t="n">
        <v>320</v>
      </c>
      <c r="B412" s="12" t="n">
        <f aca="false">RADIANS(Table1[[#This Row],[x]])</f>
        <v>5.58505360638185</v>
      </c>
      <c r="C412" s="12" t="n">
        <f aca="false">SIN(B412)</f>
        <v>-0.64278760968654</v>
      </c>
    </row>
    <row r="413" customFormat="false" ht="13.2" hidden="false" customHeight="false" outlineLevel="0" collapsed="false">
      <c r="A413" s="1" t="n">
        <v>321</v>
      </c>
      <c r="B413" s="12" t="n">
        <f aca="false">RADIANS(Table1[[#This Row],[x]])</f>
        <v>5.6025068989018</v>
      </c>
      <c r="C413" s="12" t="n">
        <f aca="false">SIN(B413)</f>
        <v>-0.629320391049838</v>
      </c>
    </row>
    <row r="414" customFormat="false" ht="13.2" hidden="false" customHeight="false" outlineLevel="0" collapsed="false">
      <c r="A414" s="1" t="n">
        <v>322</v>
      </c>
      <c r="B414" s="12" t="n">
        <f aca="false">RADIANS(Table1[[#This Row],[x]])</f>
        <v>5.61996019142174</v>
      </c>
      <c r="C414" s="12" t="n">
        <f aca="false">SIN(B414)</f>
        <v>-0.615661475325658</v>
      </c>
    </row>
    <row r="415" customFormat="false" ht="13.2" hidden="false" customHeight="false" outlineLevel="0" collapsed="false">
      <c r="A415" s="1" t="n">
        <v>323</v>
      </c>
      <c r="B415" s="12" t="n">
        <f aca="false">RADIANS(Table1[[#This Row],[x]])</f>
        <v>5.63741348394168</v>
      </c>
      <c r="C415" s="12" t="n">
        <f aca="false">SIN(B415)</f>
        <v>-0.601815023152048</v>
      </c>
    </row>
    <row r="416" customFormat="false" ht="13.2" hidden="false" customHeight="false" outlineLevel="0" collapsed="false">
      <c r="A416" s="1" t="n">
        <v>324</v>
      </c>
      <c r="B416" s="12" t="n">
        <f aca="false">RADIANS(Table1[[#This Row],[x]])</f>
        <v>5.65486677646163</v>
      </c>
      <c r="C416" s="12" t="n">
        <f aca="false">SIN(B416)</f>
        <v>-0.587785252292473</v>
      </c>
    </row>
    <row r="417" customFormat="false" ht="13.2" hidden="false" customHeight="false" outlineLevel="0" collapsed="false">
      <c r="A417" s="1" t="n">
        <v>325</v>
      </c>
      <c r="B417" s="12" t="n">
        <f aca="false">RADIANS(Table1[[#This Row],[x]])</f>
        <v>5.67232006898157</v>
      </c>
      <c r="C417" s="12" t="n">
        <f aca="false">SIN(B417)</f>
        <v>-0.573576436351047</v>
      </c>
    </row>
    <row r="418" customFormat="false" ht="13.2" hidden="false" customHeight="false" outlineLevel="0" collapsed="false">
      <c r="A418" s="1" t="n">
        <v>326</v>
      </c>
      <c r="B418" s="12" t="n">
        <f aca="false">RADIANS(Table1[[#This Row],[x]])</f>
        <v>5.68977336150152</v>
      </c>
      <c r="C418" s="12" t="n">
        <f aca="false">SIN(B418)</f>
        <v>-0.559192903470747</v>
      </c>
    </row>
    <row r="419" customFormat="false" ht="13.2" hidden="false" customHeight="false" outlineLevel="0" collapsed="false">
      <c r="A419" s="1" t="n">
        <v>327</v>
      </c>
      <c r="B419" s="12" t="n">
        <f aca="false">RADIANS(Table1[[#This Row],[x]])</f>
        <v>5.70722665402146</v>
      </c>
      <c r="C419" s="12" t="n">
        <f aca="false">SIN(B419)</f>
        <v>-0.544639035015027</v>
      </c>
    </row>
    <row r="420" customFormat="false" ht="13.2" hidden="false" customHeight="false" outlineLevel="0" collapsed="false">
      <c r="A420" s="1" t="n">
        <v>328</v>
      </c>
      <c r="B420" s="12" t="n">
        <f aca="false">RADIANS(Table1[[#This Row],[x]])</f>
        <v>5.7246799465414</v>
      </c>
      <c r="C420" s="12" t="n">
        <f aca="false">SIN(B420)</f>
        <v>-0.529919264233205</v>
      </c>
    </row>
    <row r="421" customFormat="false" ht="13.2" hidden="false" customHeight="false" outlineLevel="0" collapsed="false">
      <c r="A421" s="1" t="n">
        <v>329</v>
      </c>
      <c r="B421" s="12" t="n">
        <f aca="false">RADIANS(Table1[[#This Row],[x]])</f>
        <v>5.74213323906134</v>
      </c>
      <c r="C421" s="12" t="n">
        <f aca="false">SIN(B421)</f>
        <v>-0.515038074910054</v>
      </c>
    </row>
    <row r="422" customFormat="false" ht="13.2" hidden="false" customHeight="false" outlineLevel="0" collapsed="false">
      <c r="A422" s="1" t="n">
        <v>330</v>
      </c>
      <c r="B422" s="12" t="n">
        <f aca="false">RADIANS(Table1[[#This Row],[x]])</f>
        <v>5.75958653158129</v>
      </c>
      <c r="C422" s="12" t="n">
        <f aca="false">SIN(B422)</f>
        <v>-0.5</v>
      </c>
    </row>
    <row r="423" customFormat="false" ht="13.2" hidden="false" customHeight="false" outlineLevel="0" collapsed="false">
      <c r="A423" s="1" t="n">
        <v>331</v>
      </c>
      <c r="B423" s="12" t="n">
        <f aca="false">RADIANS(Table1[[#This Row],[x]])</f>
        <v>5.77703982410123</v>
      </c>
      <c r="C423" s="12" t="n">
        <f aca="false">SIN(B423)</f>
        <v>-0.484809620246337</v>
      </c>
    </row>
    <row r="424" customFormat="false" ht="13.2" hidden="false" customHeight="false" outlineLevel="0" collapsed="false">
      <c r="A424" s="1" t="n">
        <v>332</v>
      </c>
      <c r="B424" s="12" t="n">
        <f aca="false">RADIANS(Table1[[#This Row],[x]])</f>
        <v>5.79449311662117</v>
      </c>
      <c r="C424" s="12" t="n">
        <f aca="false">SIN(B424)</f>
        <v>-0.469471562785891</v>
      </c>
    </row>
    <row r="425" customFormat="false" ht="13.2" hidden="false" customHeight="false" outlineLevel="0" collapsed="false">
      <c r="A425" s="1" t="n">
        <v>333</v>
      </c>
      <c r="B425" s="12" t="n">
        <f aca="false">RADIANS(Table1[[#This Row],[x]])</f>
        <v>5.81194640914112</v>
      </c>
      <c r="C425" s="12" t="n">
        <f aca="false">SIN(B425)</f>
        <v>-0.453990499739547</v>
      </c>
    </row>
    <row r="426" customFormat="false" ht="13.2" hidden="false" customHeight="false" outlineLevel="0" collapsed="false">
      <c r="A426" s="1" t="n">
        <v>334</v>
      </c>
      <c r="B426" s="12" t="n">
        <f aca="false">RADIANS(Table1[[#This Row],[x]])</f>
        <v>5.82939970166106</v>
      </c>
      <c r="C426" s="12" t="n">
        <f aca="false">SIN(B426)</f>
        <v>-0.438371146789078</v>
      </c>
    </row>
    <row r="427" customFormat="false" ht="13.2" hidden="false" customHeight="false" outlineLevel="0" collapsed="false">
      <c r="A427" s="1" t="n">
        <v>335</v>
      </c>
      <c r="B427" s="12" t="n">
        <f aca="false">RADIANS(Table1[[#This Row],[x]])</f>
        <v>5.846852994181</v>
      </c>
      <c r="C427" s="12" t="n">
        <f aca="false">SIN(B427)</f>
        <v>-0.422618261740699</v>
      </c>
    </row>
    <row r="428" customFormat="false" ht="13.2" hidden="false" customHeight="false" outlineLevel="0" collapsed="false">
      <c r="A428" s="1" t="n">
        <v>336</v>
      </c>
      <c r="B428" s="12" t="n">
        <f aca="false">RADIANS(Table1[[#This Row],[x]])</f>
        <v>5.86430628670095</v>
      </c>
      <c r="C428" s="12" t="n">
        <f aca="false">SIN(B428)</f>
        <v>-0.4067366430758</v>
      </c>
    </row>
    <row r="429" customFormat="false" ht="13.2" hidden="false" customHeight="false" outlineLevel="0" collapsed="false">
      <c r="A429" s="1" t="n">
        <v>337</v>
      </c>
      <c r="B429" s="12" t="n">
        <f aca="false">RADIANS(Table1[[#This Row],[x]])</f>
        <v>5.88175957922089</v>
      </c>
      <c r="C429" s="12" t="n">
        <f aca="false">SIN(B429)</f>
        <v>-0.390731128489274</v>
      </c>
    </row>
    <row r="430" customFormat="false" ht="13.2" hidden="false" customHeight="false" outlineLevel="0" collapsed="false">
      <c r="A430" s="1" t="n">
        <v>338</v>
      </c>
      <c r="B430" s="12" t="n">
        <f aca="false">RADIANS(Table1[[#This Row],[x]])</f>
        <v>5.89921287174083</v>
      </c>
      <c r="C430" s="12" t="n">
        <f aca="false">SIN(B430)</f>
        <v>-0.374606593415912</v>
      </c>
    </row>
    <row r="431" customFormat="false" ht="13.2" hidden="false" customHeight="false" outlineLevel="0" collapsed="false">
      <c r="A431" s="1" t="n">
        <v>339</v>
      </c>
      <c r="B431" s="12" t="n">
        <f aca="false">RADIANS(Table1[[#This Row],[x]])</f>
        <v>5.91666616426078</v>
      </c>
      <c r="C431" s="12" t="n">
        <f aca="false">SIN(B431)</f>
        <v>-0.358367949545301</v>
      </c>
    </row>
    <row r="432" customFormat="false" ht="13.2" hidden="false" customHeight="false" outlineLevel="0" collapsed="false">
      <c r="A432" s="1" t="n">
        <v>340</v>
      </c>
      <c r="B432" s="12" t="n">
        <f aca="false">RADIANS(Table1[[#This Row],[x]])</f>
        <v>5.93411945678072</v>
      </c>
      <c r="C432" s="12" t="n">
        <f aca="false">SIN(B432)</f>
        <v>-0.342020143325669</v>
      </c>
    </row>
    <row r="433" customFormat="false" ht="13.2" hidden="false" customHeight="false" outlineLevel="0" collapsed="false">
      <c r="A433" s="1" t="n">
        <v>341</v>
      </c>
      <c r="B433" s="12" t="n">
        <f aca="false">RADIANS(Table1[[#This Row],[x]])</f>
        <v>5.95157274930066</v>
      </c>
      <c r="C433" s="12" t="n">
        <f aca="false">SIN(B433)</f>
        <v>-0.325568154457157</v>
      </c>
    </row>
    <row r="434" customFormat="false" ht="13.2" hidden="false" customHeight="false" outlineLevel="0" collapsed="false">
      <c r="A434" s="1" t="n">
        <v>342</v>
      </c>
      <c r="B434" s="12" t="n">
        <f aca="false">RADIANS(Table1[[#This Row],[x]])</f>
        <v>5.96902604182061</v>
      </c>
      <c r="C434" s="12" t="n">
        <f aca="false">SIN(B434)</f>
        <v>-0.309016994374948</v>
      </c>
    </row>
    <row r="435" customFormat="false" ht="13.2" hidden="false" customHeight="false" outlineLevel="0" collapsed="false">
      <c r="A435" s="1" t="n">
        <v>343</v>
      </c>
      <c r="B435" s="12" t="n">
        <f aca="false">RADIANS(Table1[[#This Row],[x]])</f>
        <v>5.98647933434055</v>
      </c>
      <c r="C435" s="12" t="n">
        <f aca="false">SIN(B435)</f>
        <v>-0.292371704722737</v>
      </c>
    </row>
    <row r="436" customFormat="false" ht="13.2" hidden="false" customHeight="false" outlineLevel="0" collapsed="false">
      <c r="A436" s="1" t="n">
        <v>344</v>
      </c>
      <c r="B436" s="12" t="n">
        <f aca="false">RADIANS(Table1[[#This Row],[x]])</f>
        <v>6.00393262686049</v>
      </c>
      <c r="C436" s="12" t="n">
        <f aca="false">SIN(B436)</f>
        <v>-0.275637355816999</v>
      </c>
    </row>
    <row r="437" customFormat="false" ht="13.2" hidden="false" customHeight="false" outlineLevel="0" collapsed="false">
      <c r="A437" s="1" t="n">
        <v>345</v>
      </c>
      <c r="B437" s="12" t="n">
        <f aca="false">RADIANS(Table1[[#This Row],[x]])</f>
        <v>6.02138591938044</v>
      </c>
      <c r="C437" s="12" t="n">
        <f aca="false">SIN(B437)</f>
        <v>-0.258819045102521</v>
      </c>
    </row>
    <row r="438" customFormat="false" ht="13.2" hidden="false" customHeight="false" outlineLevel="0" collapsed="false">
      <c r="A438" s="1" t="n">
        <v>346</v>
      </c>
      <c r="B438" s="12" t="n">
        <f aca="false">RADIANS(Table1[[#This Row],[x]])</f>
        <v>6.03883921190038</v>
      </c>
      <c r="C438" s="12" t="n">
        <f aca="false">SIN(B438)</f>
        <v>-0.241921895599668</v>
      </c>
    </row>
    <row r="439" customFormat="false" ht="13.2" hidden="false" customHeight="false" outlineLevel="0" collapsed="false">
      <c r="A439" s="1" t="n">
        <v>347</v>
      </c>
      <c r="B439" s="12" t="n">
        <f aca="false">RADIANS(Table1[[#This Row],[x]])</f>
        <v>6.05629250442032</v>
      </c>
      <c r="C439" s="12" t="n">
        <f aca="false">SIN(B439)</f>
        <v>-0.224951054343865</v>
      </c>
    </row>
    <row r="440" customFormat="false" ht="13.2" hidden="false" customHeight="false" outlineLevel="0" collapsed="false">
      <c r="A440" s="1" t="n">
        <v>348</v>
      </c>
      <c r="B440" s="12" t="n">
        <f aca="false">RADIANS(Table1[[#This Row],[x]])</f>
        <v>6.07374579694027</v>
      </c>
      <c r="C440" s="12" t="n">
        <f aca="false">SIN(B440)</f>
        <v>-0.20791169081776</v>
      </c>
    </row>
    <row r="441" customFormat="false" ht="13.2" hidden="false" customHeight="false" outlineLevel="0" collapsed="false">
      <c r="A441" s="1" t="n">
        <v>349</v>
      </c>
      <c r="B441" s="12" t="n">
        <f aca="false">RADIANS(Table1[[#This Row],[x]])</f>
        <v>6.09119908946021</v>
      </c>
      <c r="C441" s="12" t="n">
        <f aca="false">SIN(B441)</f>
        <v>-0.190808995376545</v>
      </c>
    </row>
    <row r="442" customFormat="false" ht="13.2" hidden="false" customHeight="false" outlineLevel="0" collapsed="false">
      <c r="A442" s="1" t="n">
        <v>350</v>
      </c>
      <c r="B442" s="12" t="n">
        <f aca="false">RADIANS(Table1[[#This Row],[x]])</f>
        <v>6.10865238198015</v>
      </c>
      <c r="C442" s="12" t="n">
        <f aca="false">SIN(B442)</f>
        <v>-0.17364817766693</v>
      </c>
    </row>
    <row r="443" customFormat="false" ht="13.2" hidden="false" customHeight="false" outlineLevel="0" collapsed="false">
      <c r="A443" s="1" t="n">
        <v>351</v>
      </c>
      <c r="B443" s="12" t="n">
        <f aca="false">RADIANS(Table1[[#This Row],[x]])</f>
        <v>6.1261056745001</v>
      </c>
      <c r="C443" s="12" t="n">
        <f aca="false">SIN(B443)</f>
        <v>-0.156434465040231</v>
      </c>
    </row>
    <row r="444" customFormat="false" ht="13.2" hidden="false" customHeight="false" outlineLevel="0" collapsed="false">
      <c r="A444" s="1" t="n">
        <v>352</v>
      </c>
      <c r="B444" s="12" t="n">
        <f aca="false">RADIANS(Table1[[#This Row],[x]])</f>
        <v>6.14355896702004</v>
      </c>
      <c r="C444" s="12" t="n">
        <f aca="false">SIN(B444)</f>
        <v>-0.139173100960066</v>
      </c>
    </row>
    <row r="445" customFormat="false" ht="13.2" hidden="false" customHeight="false" outlineLevel="0" collapsed="false">
      <c r="A445" s="1" t="n">
        <v>353</v>
      </c>
      <c r="B445" s="12" t="n">
        <f aca="false">RADIANS(Table1[[#This Row],[x]])</f>
        <v>6.16101225953998</v>
      </c>
      <c r="C445" s="12" t="n">
        <f aca="false">SIN(B445)</f>
        <v>-0.121869343405147</v>
      </c>
    </row>
    <row r="446" customFormat="false" ht="13.2" hidden="false" customHeight="false" outlineLevel="0" collapsed="false">
      <c r="A446" s="1" t="n">
        <v>354</v>
      </c>
      <c r="B446" s="12" t="n">
        <f aca="false">RADIANS(Table1[[#This Row],[x]])</f>
        <v>6.17846555205993</v>
      </c>
      <c r="C446" s="12" t="n">
        <f aca="false">SIN(B446)</f>
        <v>-0.104528463267653</v>
      </c>
    </row>
    <row r="447" customFormat="false" ht="13.2" hidden="false" customHeight="false" outlineLevel="0" collapsed="false">
      <c r="A447" s="1" t="n">
        <v>355</v>
      </c>
      <c r="B447" s="12" t="n">
        <f aca="false">RADIANS(Table1[[#This Row],[x]])</f>
        <v>6.19591884457987</v>
      </c>
      <c r="C447" s="12" t="n">
        <f aca="false">SIN(B447)</f>
        <v>-0.0871557427476583</v>
      </c>
    </row>
    <row r="448" customFormat="false" ht="13.2" hidden="false" customHeight="false" outlineLevel="0" collapsed="false">
      <c r="A448" s="1" t="n">
        <v>356</v>
      </c>
      <c r="B448" s="12" t="n">
        <f aca="false">RADIANS(Table1[[#This Row],[x]])</f>
        <v>6.21337213709981</v>
      </c>
      <c r="C448" s="12" t="n">
        <f aca="false">SIN(B448)</f>
        <v>-0.0697564737441256</v>
      </c>
    </row>
    <row r="449" customFormat="false" ht="13.2" hidden="false" customHeight="false" outlineLevel="0" collapsed="false">
      <c r="A449" s="1" t="n">
        <v>357</v>
      </c>
      <c r="B449" s="12" t="n">
        <f aca="false">RADIANS(Table1[[#This Row],[x]])</f>
        <v>6.23082542961976</v>
      </c>
      <c r="C449" s="12" t="n">
        <f aca="false">SIN(B449)</f>
        <v>-0.0523359562429444</v>
      </c>
    </row>
    <row r="450" customFormat="false" ht="13.2" hidden="false" customHeight="false" outlineLevel="0" collapsed="false">
      <c r="A450" s="1" t="n">
        <v>358</v>
      </c>
      <c r="B450" s="12" t="n">
        <f aca="false">RADIANS(Table1[[#This Row],[x]])</f>
        <v>6.2482787221397</v>
      </c>
      <c r="C450" s="12" t="n">
        <f aca="false">SIN(B450)</f>
        <v>-0.0348994967025008</v>
      </c>
    </row>
    <row r="451" customFormat="false" ht="13.2" hidden="false" customHeight="false" outlineLevel="0" collapsed="false">
      <c r="A451" s="1" t="n">
        <v>359</v>
      </c>
      <c r="B451" s="12" t="n">
        <f aca="false">RADIANS(Table1[[#This Row],[x]])</f>
        <v>6.26573201465964</v>
      </c>
      <c r="C451" s="12" t="n">
        <f aca="false">SIN(B451)</f>
        <v>-0.0174524064372836</v>
      </c>
    </row>
    <row r="452" customFormat="false" ht="13.2" hidden="false" customHeight="false" outlineLevel="0" collapsed="false">
      <c r="A452" s="1" t="n">
        <v>360</v>
      </c>
      <c r="B452" s="12" t="n">
        <f aca="false">RADIANS(Table1[[#This Row],[x]])</f>
        <v>6.28318530717959</v>
      </c>
      <c r="C452" s="12" t="n">
        <f aca="false">SIN(B452)</f>
        <v>-2.45029690981724E-016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2018-11-09T04:55:12Z</dcterms:created>
  <dc:creator/>
  <dc:description/>
  <dc:language>en-US</dc:language>
  <cp:lastModifiedBy/>
  <dcterms:modified xsi:type="dcterms:W3CDTF">2018-11-15T17:43:18Z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