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workbook.xml" ContentType="application/vnd.ms-excel.sheet.macroEnabled.main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charts/chart39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3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<sst xmlns="http://schemas.openxmlformats.org/spreadsheetml/2006/main" count="165" uniqueCount="96">
  <si>
    <t xml:space="preserve">COMET</t>
  </si>
  <si>
    <t xml:space="preserve">ecology2</t>
  </si>
  <si>
    <t xml:space="preserve">Node=1</t>
  </si>
  <si>
    <t xml:space="preserve">Np=4</t>
  </si>
  <si>
    <t xml:space="preserve">Thread=6</t>
  </si>
  <si>
    <t xml:space="preserve">level</t>
  </si>
  <si>
    <t xml:space="preserve">local</t>
  </si>
  <si>
    <t xml:space="preserve">remote</t>
  </si>
  <si>
    <t xml:space="preserve">comm</t>
  </si>
  <si>
    <t xml:space="preserve">14781550.out</t>
  </si>
  <si>
    <t xml:space="preserve">Node=8</t>
  </si>
  <si>
    <t xml:space="preserve">Np=32</t>
  </si>
  <si>
    <t xml:space="preserve">14781739.out</t>
  </si>
  <si>
    <t xml:space="preserve">Node=4</t>
  </si>
  <si>
    <t xml:space="preserve">Np=96</t>
  </si>
  <si>
    <t xml:space="preserve">Thread=1</t>
  </si>
  <si>
    <t xml:space="preserve">Local Loop</t>
  </si>
  <si>
    <t xml:space="preserve">Remote Loop</t>
  </si>
  <si>
    <t xml:space="preserve">Communication</t>
  </si>
  <si>
    <t xml:space="preserve">14800238.out</t>
  </si>
  <si>
    <t xml:space="preserve">level = 0</t>
  </si>
  <si>
    <t xml:space="preserve">number of procs = 96</t>
  </si>
  <si>
    <t xml:space="preserve">matrix size     = 999999</t>
  </si>
  <si>
    <t xml:space="preserve">nonzero         = 4995991</t>
  </si>
  <si>
    <t xml:space="preserve">density         = 0.0014</t>
  </si>
  <si>
    <t xml:space="preserve">final: connStrength = 0.500000, current size = 999999, new size = 209053,  division = 4</t>
  </si>
  <si>
    <t xml:space="preserve">Mbig = 209053, nnz_g = 2226863, total_nnz_l_local = 1888453 (%84), total_nnz_l_remote = 338410 (%15)</t>
  </si>
  <si>
    <t xml:space="preserve">remote_min = 665, remote_ave = 1368, remote_max = 1487</t>
  </si>
  <si>
    <t xml:space="preserve">_____________________________</t>
  </si>
  <si>
    <t xml:space="preserve">level = 1</t>
  </si>
  <si>
    <t xml:space="preserve">matrix size     = 209053</t>
  </si>
  <si>
    <t xml:space="preserve">nonzero         = 2226863</t>
  </si>
  <si>
    <t xml:space="preserve">density         = 0.0030</t>
  </si>
  <si>
    <t xml:space="preserve">final: connStrength = 0.500000, current size = 209053, new size = 31040,  division = 6</t>
  </si>
  <si>
    <t xml:space="preserve">Mbig = 31040, nnz_g = 711922, total_nnz_l_local = 308848 (%43), total_nnz_l_remote = 403074 (%56)</t>
  </si>
  <si>
    <t xml:space="preserve">remote_min = 441, remote_ave = 882, remote_max = 919</t>
  </si>
  <si>
    <t xml:space="preserve">level = 2</t>
  </si>
  <si>
    <t xml:space="preserve">matrix size     = 31040</t>
  </si>
  <si>
    <t xml:space="preserve">nonzero         = 711922</t>
  </si>
  <si>
    <t xml:space="preserve">density         = 0.0007</t>
  </si>
  <si>
    <t xml:space="preserve">final: connStrength = 0.500000, current size = 31040, new size = 4361,  division = 7</t>
  </si>
  <si>
    <t xml:space="preserve">Mbig = 4361, nnz_g = 196953, total_nnz_l_local = 25663 (%13), total_nnz_l_remote = 171290 (%86)</t>
  </si>
  <si>
    <t xml:space="preserve">remote_min = 236, remote_ave = 475, remote_max = 519</t>
  </si>
  <si>
    <t xml:space="preserve">level = 3</t>
  </si>
  <si>
    <t xml:space="preserve">matrix size     = 4361</t>
  </si>
  <si>
    <t xml:space="preserve">nonzero         = 196953</t>
  </si>
  <si>
    <t xml:space="preserve">density         = 0.0104</t>
  </si>
  <si>
    <t xml:space="preserve">final: connStrength = 0.500000, current size = 4361, new size = 672,  division = 6</t>
  </si>
  <si>
    <t xml:space="preserve">Mbig = 672, nnz_g = 54002, total_nnz_l_local = 2314 (%4), total_nnz_l_remote = 51688 (%95)</t>
  </si>
  <si>
    <t xml:space="preserve">remote_min = 120, remote_ave = 231, remote_max = 299</t>
  </si>
  <si>
    <t xml:space="preserve">level = 4</t>
  </si>
  <si>
    <t xml:space="preserve">matrix size     = 672</t>
  </si>
  <si>
    <t xml:space="preserve">nonzero         = 54002</t>
  </si>
  <si>
    <t xml:space="preserve">density         = 0.1196</t>
  </si>
  <si>
    <t xml:space="preserve">kingspeak</t>
  </si>
  <si>
    <t xml:space="preserve">Thre1 = 8</t>
  </si>
  <si>
    <t xml:space="preserve">Thre2 = 4</t>
  </si>
  <si>
    <t xml:space="preserve">[u1013493@kp328:build]$ mpirun -np 96 ./matvec003 ../build_old3/ecology2.bin </t>
  </si>
  <si>
    <t xml:space="preserve">number of processes = 96, number of threads = 1</t>
  </si>
  <si>
    <t xml:space="preserve">Mbig = 999999, nnz_g = 4995991, total_nnz_l_local = 4805801 (%96), total_nnz_l_remote = 190190 (%3) </t>
  </si>
  <si>
    <t xml:space="preserve">remote_min = 1000, remote_ave = 1979, remote_max = 2000 </t>
  </si>
  <si>
    <t xml:space="preserve">level = 0 </t>
  </si>
  <si>
    <t xml:space="preserve">number of procs = 96 </t>
  </si>
  <si>
    <t xml:space="preserve">matrix size </t>
  </si>
  <si>
    <t xml:space="preserve">nonzero </t>
  </si>
  <si>
    <t xml:space="preserve">density </t>
  </si>
  <si>
    <t xml:space="preserve">last_density_shrink = 0.001401, density = 0.002955, inequality = 0 </t>
  </si>
  <si>
    <t xml:space="preserve">Mbig = 209053, nnz_g = 2226863, total_nnz_l_local = 1888453 (%84), total_nnz_l_remote = 338410 (%15) </t>
  </si>
  <si>
    <t xml:space="preserve">remote_min = 665, remote_ave = 1368, remote_max = 1487 </t>
  </si>
  <si>
    <t xml:space="preserve">level = 1 </t>
  </si>
  <si>
    <t xml:space="preserve">last_density_shrink = 0.001401, density = 0.000739, inequality = 0 </t>
  </si>
  <si>
    <t xml:space="preserve">Mbig = 31040, nnz_g = 711922, total_nnz_l_local = 308848 (%43), total_nnz_l_remote = 403074 (%56) </t>
  </si>
  <si>
    <t xml:space="preserve">remote_min = 441, remote_ave = 882, remote_max = 919 </t>
  </si>
  <si>
    <t xml:space="preserve">level = 2 </t>
  </si>
  <si>
    <t xml:space="preserve">last_density_shrink = 0.001401, density = 0.010356, inequality = 0 </t>
  </si>
  <si>
    <t xml:space="preserve">Mbig = 4361, nnz_g = 196953, total_nnz_l_local = 25663 (%13), total_nnz_l_remote = 171290 (%86) </t>
  </si>
  <si>
    <t xml:space="preserve">remote_min = 236, remote_ave = 475, remote_max = 519 </t>
  </si>
  <si>
    <t xml:space="preserve">level = 3 </t>
  </si>
  <si>
    <t xml:space="preserve">last_density_shrink = 0.001401, density = 0.119584, inequality = 1 </t>
  </si>
  <si>
    <t xml:space="preserve">Mbig = 672, nnz_g = 54002, total_nnz_l_local = 7732 (%14), total_nnz_l_remote = 46270 (%85) </t>
  </si>
  <si>
    <t xml:space="preserve">remote_min = 128, remote_ave = 263, remote_max = 315 </t>
  </si>
  <si>
    <t xml:space="preserve">level = 4 </t>
  </si>
  <si>
    <t xml:space="preserve">number of procs = 24 </t>
  </si>
  <si>
    <t xml:space="preserve">final: connStrength = 0.500000, current size = 672, new size = 105,  division = 6</t>
  </si>
  <si>
    <t xml:space="preserve">last_density_shrink = 0.119584, density = 0.785578, inequality = 0 </t>
  </si>
  <si>
    <t xml:space="preserve">Mbig = 105, nnz_g = 8661, total_nnz_l_local = 435 (%5), total_nnz_l_remote = 8226 (%94) </t>
  </si>
  <si>
    <t xml:space="preserve">remote_min = 84, remote_ave = 97, remote_max = 101 </t>
  </si>
  <si>
    <t xml:space="preserve">level = 5 </t>
  </si>
  <si>
    <t xml:space="preserve">final: connStrength = 0.500000, current size = 105, new size = 31,  division = 3</t>
  </si>
  <si>
    <t xml:space="preserve">last_density_shrink = 0.119584, density = 1.000000, inequality = 1 </t>
  </si>
  <si>
    <t xml:space="preserve">Mbig = 31, nnz_g = 961, total_nnz_l_local = 161 (%16), total_nnz_l_remote = 800 (%83) </t>
  </si>
  <si>
    <t xml:space="preserve">remote_min = 25, remote_ave = 25, remote_max = 26 </t>
  </si>
  <si>
    <t xml:space="preserve">level = 6 </t>
  </si>
  <si>
    <t xml:space="preserve">number of procs = 6 </t>
  </si>
  <si>
    <t xml:space="preserve">number of levels = &lt;&lt; 6 &gt;&gt; (the finest level is 0)</t>
  </si>
  <si>
    <t xml:space="preserve">Thre1 = 6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</si>
</sst>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.00E+00"/>
  </numFmts>
  <fonts count="11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"/>
      <family val="2"/>
      <charset val="1"/>
    </font>
    <font>
      <b val="true"/>
      <sz val="10"/>
      <color rgb="FF800000"/>
      <name val="Arial"/>
      <family val="2"/>
      <charset val="1"/>
    </font>
    <font>
      <sz val="18"/>
      <color rgb="FF000000"/>
      <name val="Tibetan Machine Uni"/>
      <family val="2"/>
    </font>
    <font>
      <sz val="18"/>
      <color rgb="FF000000"/>
      <name val="Arial"/>
      <family val="2"/>
    </font>
    <font>
      <sz val="10"/>
      <name val="Arial"/>
      <family val="2"/>
    </font>
    <font>
      <sz val="14"/>
      <name val="Arial"/>
      <family val="2"/>
    </font>
    <font>
      <sz val="16"/>
      <name val="Arial"/>
      <family val="2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layout>
        <c:manualLayout>
          <c:layoutTarget val="inner"/>
          <c:xMode val="edge"/>
          <c:yMode val="edge"/>
          <c:x val="0.154428881436181"/>
          <c:y val="0.0359797214155633"/>
          <c:w val="0.666206352337739"/>
          <c:h val="0.86686026480287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Sheet1!$A$12</c:f>
              <c:strCache>
                <c:ptCount val="1"/>
                <c:pt idx="0">
                  <c:v>local</c:v>
                </c:pt>
              </c:strCache>
            </c:strRef>
          </c:tx>
          <c:spPr>
            <a:solidFill>
              <a:srgbClr val="ffcc99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Sheet1!$B$11:$G$11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Sheet1!$B$12:$G$12</c:f>
              <c:numCache>
                <c:formatCode>General</c:formatCode>
                <c:ptCount val="6"/>
                <c:pt idx="0">
                  <c:v>0.00220621</c:v>
                </c:pt>
                <c:pt idx="1">
                  <c:v>0.000330816</c:v>
                </c:pt>
                <c:pt idx="2">
                  <c:v>7.98603E-005</c:v>
                </c:pt>
                <c:pt idx="3">
                  <c:v>1.81053E-005</c:v>
                </c:pt>
                <c:pt idx="4">
                  <c:v>6.08643E-006</c:v>
                </c:pt>
                <c:pt idx="5">
                  <c:v>3.29693E-006</c:v>
                </c:pt>
              </c:numCache>
            </c:numRef>
          </c:val>
        </c:ser>
        <c:ser>
          <c:idx val="1"/>
          <c:order val="1"/>
          <c:tx>
            <c:strRef>
              <c:f>Sheet1!$A$13</c:f>
              <c:strCache>
                <c:ptCount val="1"/>
                <c:pt idx="0">
                  <c:v>remote</c:v>
                </c:pt>
              </c:strCache>
            </c:strRef>
          </c:tx>
          <c:spPr>
            <a:solidFill>
              <a:srgbClr val="ff8080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Sheet1!$B$11:$G$11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Sheet1!$B$13:$G$13</c:f>
              <c:numCache>
                <c:formatCode>General</c:formatCode>
                <c:ptCount val="6"/>
                <c:pt idx="0">
                  <c:v>5.46912E-006</c:v>
                </c:pt>
                <c:pt idx="1">
                  <c:v>6.42975E-006</c:v>
                </c:pt>
                <c:pt idx="2">
                  <c:v>8.03014E-006</c:v>
                </c:pt>
                <c:pt idx="3">
                  <c:v>7.44621E-006</c:v>
                </c:pt>
                <c:pt idx="4">
                  <c:v>4.93626E-006</c:v>
                </c:pt>
                <c:pt idx="5">
                  <c:v>1.03891E-006</c:v>
                </c:pt>
              </c:numCache>
            </c:numRef>
          </c:val>
        </c:ser>
        <c:ser>
          <c:idx val="2"/>
          <c:order val="2"/>
          <c:tx>
            <c:strRef>
              <c:f>Sheet1!$A$14</c:f>
              <c:strCache>
                <c:ptCount val="1"/>
                <c:pt idx="0">
                  <c:v>comm</c:v>
                </c:pt>
              </c:strCache>
            </c:strRef>
          </c:tx>
          <c:spPr>
            <a:solidFill>
              <a:srgbClr val="99ccff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Sheet1!$B$11:$G$11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Sheet1!$B$14:$G$14</c:f>
              <c:numCache>
                <c:formatCode>General</c:formatCode>
                <c:ptCount val="6"/>
                <c:pt idx="0">
                  <c:v>1.63168E-005</c:v>
                </c:pt>
                <c:pt idx="1">
                  <c:v>6.06199E-006</c:v>
                </c:pt>
                <c:pt idx="2">
                  <c:v>4.38909E-006</c:v>
                </c:pt>
                <c:pt idx="3">
                  <c:v>3.31302E-006</c:v>
                </c:pt>
                <c:pt idx="4">
                  <c:v>2.75095E-006</c:v>
                </c:pt>
                <c:pt idx="5">
                  <c:v>2.9856E-006</c:v>
                </c:pt>
              </c:numCache>
            </c:numRef>
          </c:val>
        </c:ser>
        <c:gapWidth val="300"/>
        <c:overlap val="0"/>
        <c:axId val="10017469"/>
        <c:axId val="76044655"/>
      </c:barChart>
      <c:catAx>
        <c:axId val="1001746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8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Tibetan Machine Uni"/>
              </a:defRPr>
            </a:pPr>
          </a:p>
        </c:txPr>
        <c:crossAx val="76044655"/>
        <c:crosses val="autoZero"/>
        <c:auto val="1"/>
        <c:lblAlgn val="ctr"/>
        <c:lblOffset val="100"/>
      </c:catAx>
      <c:valAx>
        <c:axId val="76044655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18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Tibetan Machine Uni"/>
                  </a:defRPr>
                </a:pPr>
                <a:r>
                  <a:rPr b="0" sz="18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Tibetan Machine Uni"/>
                  </a:rPr>
                  <a:t>time (s)</a:t>
                </a:r>
              </a:p>
            </c:rich>
          </c:tx>
          <c:layout>
            <c:manualLayout>
              <c:xMode val="edge"/>
              <c:yMode val="edge"/>
              <c:x val="0.00587887157230223"/>
              <c:y val="0.53841610473987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8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10017469"/>
        <c:crossesAt val="1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layout>
        <c:manualLayout>
          <c:xMode val="edge"/>
          <c:yMode val="edge"/>
          <c:x val="0.836516516516516"/>
          <c:y val="0.382646783798415"/>
        </c:manualLayout>
      </c:layout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layout>
        <c:manualLayout>
          <c:layoutTarget val="inner"/>
          <c:xMode val="edge"/>
          <c:yMode val="edge"/>
          <c:x val="0.154362151284378"/>
          <c:y val="0.0359797214155633"/>
          <c:w val="0.666219468886872"/>
          <c:h val="0.86686026480287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Sheet1!$A$65</c:f>
              <c:strCache>
                <c:ptCount val="1"/>
                <c:pt idx="0">
                  <c:v>local</c:v>
                </c:pt>
              </c:strCache>
            </c:strRef>
          </c:tx>
          <c:spPr>
            <a:solidFill>
              <a:srgbClr val="ffcc99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Sheet1!$B$64:$F$64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strCache>
            </c:strRef>
          </c:cat>
          <c:val>
            <c:numRef>
              <c:f>Sheet1!$B$65:$F$65</c:f>
              <c:numCache>
                <c:formatCode>General</c:formatCode>
                <c:ptCount val="5"/>
                <c:pt idx="0">
                  <c:v>0.000156325</c:v>
                </c:pt>
                <c:pt idx="1">
                  <c:v>4.56597E-005</c:v>
                </c:pt>
                <c:pt idx="2">
                  <c:v>1.21129E-005</c:v>
                </c:pt>
                <c:pt idx="3">
                  <c:v>4.87064E-006</c:v>
                </c:pt>
                <c:pt idx="4">
                  <c:v>3.36697E-006</c:v>
                </c:pt>
              </c:numCache>
            </c:numRef>
          </c:val>
        </c:ser>
        <c:ser>
          <c:idx val="1"/>
          <c:order val="1"/>
          <c:tx>
            <c:strRef>
              <c:f>Sheet1!$A$66</c:f>
              <c:strCache>
                <c:ptCount val="1"/>
                <c:pt idx="0">
                  <c:v>remote</c:v>
                </c:pt>
              </c:strCache>
            </c:strRef>
          </c:tx>
          <c:spPr>
            <a:solidFill>
              <a:srgbClr val="ff8080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Sheet1!$B$64:$F$64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strCache>
            </c:strRef>
          </c:cat>
          <c:val>
            <c:numRef>
              <c:f>Sheet1!$B$66:$F$66</c:f>
              <c:numCache>
                <c:formatCode>General</c:formatCode>
                <c:ptCount val="5"/>
                <c:pt idx="0">
                  <c:v>4.76817E-006</c:v>
                </c:pt>
                <c:pt idx="1">
                  <c:v>7.7899E-006</c:v>
                </c:pt>
                <c:pt idx="2">
                  <c:v>1.02138E-005</c:v>
                </c:pt>
                <c:pt idx="3">
                  <c:v>7.76969E-006</c:v>
                </c:pt>
                <c:pt idx="4">
                  <c:v>1.61052E-006</c:v>
                </c:pt>
              </c:numCache>
            </c:numRef>
          </c:val>
        </c:ser>
        <c:ser>
          <c:idx val="2"/>
          <c:order val="2"/>
          <c:tx>
            <c:strRef>
              <c:f>Sheet1!$A$67</c:f>
              <c:strCache>
                <c:ptCount val="1"/>
                <c:pt idx="0">
                  <c:v>comm</c:v>
                </c:pt>
              </c:strCache>
            </c:strRef>
          </c:tx>
          <c:spPr>
            <a:solidFill>
              <a:srgbClr val="99ccff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Sheet1!$B$64:$F$64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strCache>
            </c:strRef>
          </c:cat>
          <c:val>
            <c:numRef>
              <c:f>Sheet1!$B$67:$F$67</c:f>
              <c:numCache>
                <c:formatCode>General</c:formatCode>
                <c:ptCount val="5"/>
                <c:pt idx="0">
                  <c:v>8.68191E-006</c:v>
                </c:pt>
                <c:pt idx="1">
                  <c:v>7.02764E-006</c:v>
                </c:pt>
                <c:pt idx="2">
                  <c:v>5.26885E-006</c:v>
                </c:pt>
                <c:pt idx="3">
                  <c:v>8.1682E-006</c:v>
                </c:pt>
                <c:pt idx="4">
                  <c:v>2.17411E-005</c:v>
                </c:pt>
              </c:numCache>
            </c:numRef>
          </c:val>
        </c:ser>
        <c:gapWidth val="300"/>
        <c:overlap val="0"/>
        <c:axId val="55093937"/>
        <c:axId val="97363822"/>
      </c:barChart>
      <c:catAx>
        <c:axId val="5509393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8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Tibetan Machine Uni"/>
              </a:defRPr>
            </a:pPr>
          </a:p>
        </c:txPr>
        <c:crossAx val="97363822"/>
        <c:crosses val="autoZero"/>
        <c:auto val="1"/>
        <c:lblAlgn val="ctr"/>
        <c:lblOffset val="100"/>
      </c:catAx>
      <c:valAx>
        <c:axId val="97363822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18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Tibetan Machine Uni"/>
                  </a:defRPr>
                </a:pPr>
                <a:r>
                  <a:rPr b="0" sz="18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Tibetan Machine Uni"/>
                  </a:rPr>
                  <a:t>time (s)</a:t>
                </a:r>
              </a:p>
            </c:rich>
          </c:tx>
          <c:layout>
            <c:manualLayout>
              <c:xMode val="edge"/>
              <c:yMode val="edge"/>
              <c:x val="0.00587933551671073"/>
              <c:y val="0.53841610473987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8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55093937"/>
        <c:crossesAt val="1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layout>
        <c:manualLayout>
          <c:xMode val="edge"/>
          <c:yMode val="edge"/>
          <c:x val="0.836510263929619"/>
          <c:y val="0.382597568777991"/>
        </c:manualLayout>
      </c:layout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layout>
        <c:manualLayout>
          <c:layoutTarget val="inner"/>
          <c:xMode val="edge"/>
          <c:yMode val="edge"/>
          <c:x val="0.154428881436181"/>
          <c:y val="0.0359305015504257"/>
          <c:w val="0.649753403038075"/>
          <c:h val="0.86686026480287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Sheet1!$A$110</c:f>
              <c:strCache>
                <c:ptCount val="1"/>
                <c:pt idx="0">
                  <c:v>Local Loop</c:v>
                </c:pt>
              </c:strCache>
            </c:strRef>
          </c:tx>
          <c:spPr>
            <a:solidFill>
              <a:srgbClr val="ffcc99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Sheet1!$B$109:$F$109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strCache>
            </c:strRef>
          </c:cat>
          <c:val>
            <c:numRef>
              <c:f>Sheet1!$B$110:$F$110</c:f>
              <c:numCache>
                <c:formatCode>General</c:formatCode>
                <c:ptCount val="5"/>
                <c:pt idx="0">
                  <c:v>9.17174E-005</c:v>
                </c:pt>
                <c:pt idx="1">
                  <c:v>3.60396E-005</c:v>
                </c:pt>
                <c:pt idx="2">
                  <c:v>6.25461E-006</c:v>
                </c:pt>
                <c:pt idx="3">
                  <c:v>9.13797E-007</c:v>
                </c:pt>
                <c:pt idx="4">
                  <c:v>6.66049E-007</c:v>
                </c:pt>
              </c:numCache>
            </c:numRef>
          </c:val>
        </c:ser>
        <c:ser>
          <c:idx val="1"/>
          <c:order val="1"/>
          <c:tx>
            <c:strRef>
              <c:f>Sheet1!$A$111</c:f>
              <c:strCache>
                <c:ptCount val="1"/>
                <c:pt idx="0">
                  <c:v>Remote Loop</c:v>
                </c:pt>
              </c:strCache>
            </c:strRef>
          </c:tx>
          <c:spPr>
            <a:solidFill>
              <a:srgbClr val="ff8080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Sheet1!$B$109:$F$109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strCache>
            </c:strRef>
          </c:cat>
          <c:val>
            <c:numRef>
              <c:f>Sheet1!$B$111:$F$111</c:f>
              <c:numCache>
                <c:formatCode>General</c:formatCode>
                <c:ptCount val="5"/>
                <c:pt idx="0">
                  <c:v>4.94705E-006</c:v>
                </c:pt>
                <c:pt idx="1">
                  <c:v>8.1958E-006</c:v>
                </c:pt>
                <c:pt idx="2">
                  <c:v>9.71926E-006</c:v>
                </c:pt>
                <c:pt idx="3">
                  <c:v>3.80686E-006</c:v>
                </c:pt>
                <c:pt idx="4">
                  <c:v>1.37255E-006</c:v>
                </c:pt>
              </c:numCache>
            </c:numRef>
          </c:val>
        </c:ser>
        <c:ser>
          <c:idx val="2"/>
          <c:order val="2"/>
          <c:tx>
            <c:strRef>
              <c:f>Sheet1!$A$112</c:f>
              <c:strCache>
                <c:ptCount val="1"/>
                <c:pt idx="0">
                  <c:v>Communication</c:v>
                </c:pt>
              </c:strCache>
            </c:strRef>
          </c:tx>
          <c:spPr>
            <a:solidFill>
              <a:srgbClr val="99ccff"/>
            </a:solidFill>
            <a:ln>
              <a:noFill/>
            </a:ln>
          </c:spPr>
          <c:invertIfNegative val="0"/>
          <c:dLbls>
            <c:dLbl>
              <c:idx val="4"/>
              <c:dLblPos val="inBase"/>
              <c:showLegendKey val="0"/>
              <c:showVal val="1"/>
              <c:showCatName val="0"/>
              <c:showSerName val="0"/>
              <c:showPercent val="0"/>
            </c:dLbl>
            <c:dLblPos val="inBase"/>
            <c:showLegendKey val="0"/>
            <c:showVal val="1"/>
            <c:showCatName val="0"/>
            <c:showSerName val="0"/>
            <c:showPercent val="0"/>
            <c:showLeaderLines val="0"/>
          </c:dLbls>
          <c:cat>
            <c:strRef>
              <c:f>Sheet1!$B$109:$F$109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strCache>
            </c:strRef>
          </c:cat>
          <c:val>
            <c:numRef>
              <c:f>Sheet1!$B$112:$F$112</c:f>
              <c:numCache>
                <c:formatCode>General</c:formatCode>
                <c:ptCount val="5"/>
                <c:pt idx="0">
                  <c:v>6.99984E-006</c:v>
                </c:pt>
                <c:pt idx="1">
                  <c:v>5.78187E-006</c:v>
                </c:pt>
                <c:pt idx="2">
                  <c:v>5.34548E-006</c:v>
                </c:pt>
                <c:pt idx="3">
                  <c:v>1.2277E-005</c:v>
                </c:pt>
                <c:pt idx="4">
                  <c:v>0.000753847</c:v>
                </c:pt>
              </c:numCache>
            </c:numRef>
          </c:val>
        </c:ser>
        <c:gapWidth val="300"/>
        <c:overlap val="0"/>
        <c:axId val="60674705"/>
        <c:axId val="55990532"/>
      </c:barChart>
      <c:catAx>
        <c:axId val="6067470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8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Tibetan Machine Uni"/>
              </a:defRPr>
            </a:pPr>
          </a:p>
        </c:txPr>
        <c:crossAx val="55990532"/>
        <c:crosses val="autoZero"/>
        <c:auto val="1"/>
        <c:lblAlgn val="ctr"/>
        <c:lblOffset val="100"/>
      </c:catAx>
      <c:valAx>
        <c:axId val="55990532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18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Tibetan Machine Uni"/>
                  </a:defRPr>
                </a:pPr>
                <a:r>
                  <a:rPr b="0" sz="18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Tibetan Machine Uni"/>
                  </a:rPr>
                  <a:t>time (s)</a:t>
                </a:r>
              </a:p>
            </c:rich>
          </c:tx>
          <c:layout>
            <c:manualLayout>
              <c:xMode val="edge"/>
              <c:yMode val="edge"/>
              <c:x val="0.00587887157230223"/>
              <c:y val="0.53841610473987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8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60674705"/>
        <c:crossesAt val="1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layout>
        <c:manualLayout>
          <c:xMode val="edge"/>
          <c:yMode val="edge"/>
          <c:x val="0.804284957842858"/>
          <c:y val="0.382616399251895"/>
        </c:manualLayout>
      </c:layout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layout>
        <c:manualLayout>
          <c:layoutTarget val="inner"/>
          <c:xMode val="edge"/>
          <c:yMode val="edge"/>
          <c:x val="0.154389425922273"/>
          <c:y val="0.0359305015504257"/>
          <c:w val="0.649753403038075"/>
          <c:h val="0.86686026480287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Sheet1!$A$191</c:f>
              <c:strCache>
                <c:ptCount val="1"/>
                <c:pt idx="0">
                  <c:v>Local Loop</c:v>
                </c:pt>
              </c:strCache>
            </c:strRef>
          </c:tx>
          <c:spPr>
            <a:solidFill>
              <a:srgbClr val="ffcc99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Sheet1!$B$190:$H$190</c:f>
              <c:strCach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strCache>
            </c:strRef>
          </c:cat>
          <c:val>
            <c:numRef>
              <c:f>Sheet1!$B$191:$H$191</c:f>
              <c:numCache>
                <c:formatCode>General</c:formatCode>
                <c:ptCount val="7"/>
                <c:pt idx="0">
                  <c:v>6.19283E-005</c:v>
                </c:pt>
                <c:pt idx="1">
                  <c:v>2.37512E-005</c:v>
                </c:pt>
                <c:pt idx="2">
                  <c:v>4.18329E-006</c:v>
                </c:pt>
                <c:pt idx="3">
                  <c:v>7.20844E-007</c:v>
                </c:pt>
                <c:pt idx="4">
                  <c:v>8.01947E-007</c:v>
                </c:pt>
                <c:pt idx="5">
                  <c:v>4.50313E-007</c:v>
                </c:pt>
                <c:pt idx="6">
                  <c:v>3.72595E-007</c:v>
                </c:pt>
              </c:numCache>
            </c:numRef>
          </c:val>
        </c:ser>
        <c:ser>
          <c:idx val="1"/>
          <c:order val="1"/>
          <c:tx>
            <c:strRef>
              <c:f>Sheet1!$A$192</c:f>
              <c:strCache>
                <c:ptCount val="1"/>
                <c:pt idx="0">
                  <c:v>Remote Loop</c:v>
                </c:pt>
              </c:strCache>
            </c:strRef>
          </c:tx>
          <c:spPr>
            <a:solidFill>
              <a:srgbClr val="ff8080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Sheet1!$B$190:$H$190</c:f>
              <c:strCach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strCache>
            </c:strRef>
          </c:cat>
          <c:val>
            <c:numRef>
              <c:f>Sheet1!$B$192:$H$192</c:f>
              <c:numCache>
                <c:formatCode>General</c:formatCode>
                <c:ptCount val="7"/>
                <c:pt idx="0">
                  <c:v>4.10561E-006</c:v>
                </c:pt>
                <c:pt idx="1">
                  <c:v>5.98348E-006</c:v>
                </c:pt>
                <c:pt idx="2">
                  <c:v>6.26541E-006</c:v>
                </c:pt>
                <c:pt idx="3">
                  <c:v>2.56808E-006</c:v>
                </c:pt>
                <c:pt idx="4">
                  <c:v>2.5174E-006</c:v>
                </c:pt>
                <c:pt idx="5">
                  <c:v>5.35349E-007</c:v>
                </c:pt>
                <c:pt idx="6">
                  <c:v>2.55108E-007</c:v>
                </c:pt>
              </c:numCache>
            </c:numRef>
          </c:val>
        </c:ser>
        <c:ser>
          <c:idx val="2"/>
          <c:order val="2"/>
          <c:tx>
            <c:strRef>
              <c:f>Sheet1!$A$193</c:f>
              <c:strCache>
                <c:ptCount val="1"/>
                <c:pt idx="0">
                  <c:v>Communication</c:v>
                </c:pt>
              </c:strCache>
            </c:strRef>
          </c:tx>
          <c:spPr>
            <a:solidFill>
              <a:srgbClr val="99ccff"/>
            </a:solidFill>
            <a:ln>
              <a:noFill/>
            </a:ln>
          </c:spPr>
          <c:invertIfNegative val="0"/>
          <c:dLbls>
            <c:dLbl>
              <c:idx val="4"/>
              <c:dLblPos val="inBase"/>
              <c:showLegendKey val="0"/>
              <c:showVal val="1"/>
              <c:showCatName val="0"/>
              <c:showSerName val="0"/>
              <c:showPercent val="0"/>
            </c:dLbl>
            <c:dLblPos val="inBase"/>
            <c:showLegendKey val="0"/>
            <c:showVal val="1"/>
            <c:showCatName val="0"/>
            <c:showSerName val="0"/>
            <c:showPercent val="0"/>
            <c:showLeaderLines val="0"/>
          </c:dLbls>
          <c:cat>
            <c:strRef>
              <c:f>Sheet1!$B$190:$H$190</c:f>
              <c:strCach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strCache>
            </c:strRef>
          </c:cat>
          <c:val>
            <c:numRef>
              <c:f>Sheet1!$B$193:$H$193</c:f>
              <c:numCache>
                <c:formatCode>General</c:formatCode>
                <c:ptCount val="7"/>
                <c:pt idx="0">
                  <c:v>6.315E-006</c:v>
                </c:pt>
                <c:pt idx="1">
                  <c:v>5.09799E-006</c:v>
                </c:pt>
                <c:pt idx="2">
                  <c:v>5.37333E-006</c:v>
                </c:pt>
                <c:pt idx="3">
                  <c:v>1.1355E-005</c:v>
                </c:pt>
                <c:pt idx="4">
                  <c:v>1.45089E-005</c:v>
                </c:pt>
                <c:pt idx="5">
                  <c:v>4.66621E-005</c:v>
                </c:pt>
                <c:pt idx="6">
                  <c:v>5.23342E-006</c:v>
                </c:pt>
              </c:numCache>
            </c:numRef>
          </c:val>
        </c:ser>
        <c:gapWidth val="300"/>
        <c:overlap val="0"/>
        <c:axId val="55815763"/>
        <c:axId val="54898800"/>
      </c:barChart>
      <c:catAx>
        <c:axId val="558157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8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Tibetan Machine Uni"/>
              </a:defRPr>
            </a:pPr>
          </a:p>
        </c:txPr>
        <c:crossAx val="54898800"/>
        <c:crosses val="autoZero"/>
        <c:auto val="1"/>
        <c:lblAlgn val="ctr"/>
        <c:lblOffset val="100"/>
      </c:catAx>
      <c:valAx>
        <c:axId val="54898800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18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Tibetan Machine Uni"/>
                  </a:defRPr>
                </a:pPr>
                <a:r>
                  <a:rPr b="0" sz="18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Tibetan Machine Uni"/>
                  </a:rPr>
                  <a:t>time (s)</a:t>
                </a:r>
              </a:p>
            </c:rich>
          </c:tx>
          <c:layout>
            <c:manualLayout>
              <c:xMode val="edge"/>
              <c:yMode val="edge"/>
              <c:x val="0.00587887157230223"/>
              <c:y val="0.53841610473987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8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55815763"/>
        <c:crossesAt val="1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layout>
        <c:manualLayout>
          <c:xMode val="edge"/>
          <c:yMode val="edge"/>
          <c:x val="0.804261195502071"/>
          <c:y val="0.38253679184919"/>
        </c:manualLayout>
      </c:layout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layout>
        <c:manualLayout>
          <c:layoutTarget val="inner"/>
          <c:xMode val="edge"/>
          <c:yMode val="edge"/>
          <c:x val="0.154389425922273"/>
          <c:y val="0.0359305015504257"/>
          <c:w val="0.649753403038075"/>
          <c:h val="0.86686026480287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Sheet1!$A$327</c:f>
              <c:strCache>
                <c:ptCount val="1"/>
                <c:pt idx="0">
                  <c:v>Local Loop</c:v>
                </c:pt>
              </c:strCache>
            </c:strRef>
          </c:tx>
          <c:spPr>
            <a:solidFill>
              <a:srgbClr val="ffcc99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Sheet1!$B$326:$G$326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Sheet1!$B$327:$G$327</c:f>
              <c:numCache>
                <c:formatCode>General</c:formatCode>
                <c:ptCount val="6"/>
                <c:pt idx="0">
                  <c:v>6.18845E-005</c:v>
                </c:pt>
                <c:pt idx="1">
                  <c:v>2.38269E-005</c:v>
                </c:pt>
                <c:pt idx="2">
                  <c:v>4.18666E-006</c:v>
                </c:pt>
                <c:pt idx="3">
                  <c:v>4.69049E-006</c:v>
                </c:pt>
                <c:pt idx="4">
                  <c:v>4.00874E-006</c:v>
                </c:pt>
                <c:pt idx="5">
                  <c:v>1.41501E-006</c:v>
                </c:pt>
              </c:numCache>
            </c:numRef>
          </c:val>
        </c:ser>
        <c:ser>
          <c:idx val="1"/>
          <c:order val="1"/>
          <c:tx>
            <c:strRef>
              <c:f>Sheet1!$A$328</c:f>
              <c:strCache>
                <c:ptCount val="1"/>
                <c:pt idx="0">
                  <c:v>Remote Loop</c:v>
                </c:pt>
              </c:strCache>
            </c:strRef>
          </c:tx>
          <c:spPr>
            <a:solidFill>
              <a:srgbClr val="ff8080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Sheet1!$B$326:$G$326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Sheet1!$B$328:$G$328</c:f>
              <c:numCache>
                <c:formatCode>General</c:formatCode>
                <c:ptCount val="6"/>
                <c:pt idx="0">
                  <c:v>4.09624E-006</c:v>
                </c:pt>
                <c:pt idx="1">
                  <c:v>5.98292E-006</c:v>
                </c:pt>
                <c:pt idx="2">
                  <c:v>6.27692E-006</c:v>
                </c:pt>
                <c:pt idx="3">
                  <c:v>5.90993E-006</c:v>
                </c:pt>
                <c:pt idx="4">
                  <c:v>3.49853E-006</c:v>
                </c:pt>
                <c:pt idx="5">
                  <c:v>7.66118E-007</c:v>
                </c:pt>
              </c:numCache>
            </c:numRef>
          </c:val>
        </c:ser>
        <c:ser>
          <c:idx val="2"/>
          <c:order val="2"/>
          <c:tx>
            <c:strRef>
              <c:f>Sheet1!$A$329</c:f>
              <c:strCache>
                <c:ptCount val="1"/>
                <c:pt idx="0">
                  <c:v>Communication</c:v>
                </c:pt>
              </c:strCache>
            </c:strRef>
          </c:tx>
          <c:spPr>
            <a:solidFill>
              <a:srgbClr val="99ccff"/>
            </a:solidFill>
            <a:ln>
              <a:noFill/>
            </a:ln>
          </c:spPr>
          <c:invertIfNegative val="0"/>
          <c:dLbls>
            <c:dLbl>
              <c:idx val="4"/>
              <c:dLblPos val="inBase"/>
              <c:showLegendKey val="0"/>
              <c:showVal val="1"/>
              <c:showCatName val="0"/>
              <c:showSerName val="0"/>
              <c:showPercent val="0"/>
            </c:dLbl>
            <c:dLblPos val="inBase"/>
            <c:showLegendKey val="0"/>
            <c:showVal val="1"/>
            <c:showCatName val="0"/>
            <c:showSerName val="0"/>
            <c:showPercent val="0"/>
            <c:showLeaderLines val="0"/>
          </c:dLbls>
          <c:cat>
            <c:strRef>
              <c:f>Sheet1!$B$326:$G$326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Sheet1!$B$329:$G$329</c:f>
              <c:numCache>
                <c:formatCode>General</c:formatCode>
                <c:ptCount val="6"/>
                <c:pt idx="0">
                  <c:v>6.31958E-006</c:v>
                </c:pt>
                <c:pt idx="1">
                  <c:v>5.13311E-006</c:v>
                </c:pt>
                <c:pt idx="2">
                  <c:v>5.47861E-006</c:v>
                </c:pt>
                <c:pt idx="3">
                  <c:v>4.87225E-006</c:v>
                </c:pt>
                <c:pt idx="4">
                  <c:v>4.19312E-006</c:v>
                </c:pt>
                <c:pt idx="5">
                  <c:v>1.70906E-006</c:v>
                </c:pt>
              </c:numCache>
            </c:numRef>
          </c:val>
        </c:ser>
        <c:gapWidth val="300"/>
        <c:overlap val="0"/>
        <c:axId val="41544364"/>
        <c:axId val="19152607"/>
      </c:barChart>
      <c:catAx>
        <c:axId val="415443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8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Tibetan Machine Uni"/>
              </a:defRPr>
            </a:pPr>
          </a:p>
        </c:txPr>
        <c:crossAx val="19152607"/>
        <c:crosses val="autoZero"/>
        <c:auto val="1"/>
        <c:lblAlgn val="ctr"/>
        <c:lblOffset val="100"/>
      </c:catAx>
      <c:valAx>
        <c:axId val="19152607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18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Tibetan Machine Uni"/>
                  </a:defRPr>
                </a:pPr>
                <a:r>
                  <a:rPr b="0" sz="18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Tibetan Machine Uni"/>
                  </a:rPr>
                  <a:t>time (s)</a:t>
                </a:r>
              </a:p>
            </c:rich>
          </c:tx>
          <c:layout>
            <c:manualLayout>
              <c:xMode val="edge"/>
              <c:yMode val="edge"/>
              <c:x val="0.00587887157230223"/>
              <c:y val="0.53841610473987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8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41544364"/>
        <c:crossesAt val="1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layout>
        <c:manualLayout>
          <c:xMode val="edge"/>
          <c:yMode val="edge"/>
          <c:x val="0.804261195502071"/>
          <c:y val="0.38253679184919"/>
        </c:manualLayout>
      </c:layout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35.xml"/><Relationship Id="rId2" Type="http://schemas.openxmlformats.org/officeDocument/2006/relationships/chart" Target="../charts/chart36.xml"/><Relationship Id="rId3" Type="http://schemas.openxmlformats.org/officeDocument/2006/relationships/chart" Target="../charts/chart37.xml"/><Relationship Id="rId4" Type="http://schemas.openxmlformats.org/officeDocument/2006/relationships/chart" Target="../charts/chart38.xml"/><Relationship Id="rId5" Type="http://schemas.openxmlformats.org/officeDocument/2006/relationships/chart" Target="../charts/chart39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11</xdr:col>
      <xdr:colOff>232560</xdr:colOff>
      <xdr:row>0</xdr:row>
      <xdr:rowOff>115200</xdr:rowOff>
    </xdr:from>
    <xdr:to>
      <xdr:col>26</xdr:col>
      <xdr:colOff>497880</xdr:colOff>
      <xdr:row>45</xdr:row>
      <xdr:rowOff>113760</xdr:rowOff>
    </xdr:to>
    <xdr:graphicFrame>
      <xdr:nvGraphicFramePr>
        <xdr:cNvPr id="0" name=""/>
        <xdr:cNvGraphicFramePr/>
      </xdr:nvGraphicFramePr>
      <xdr:xfrm>
        <a:off x="7023600" y="115200"/>
        <a:ext cx="9123840" cy="73137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223200</xdr:colOff>
      <xdr:row>52</xdr:row>
      <xdr:rowOff>19080</xdr:rowOff>
    </xdr:from>
    <xdr:to>
      <xdr:col>23</xdr:col>
      <xdr:colOff>488160</xdr:colOff>
      <xdr:row>97</xdr:row>
      <xdr:rowOff>17640</xdr:rowOff>
    </xdr:to>
    <xdr:graphicFrame>
      <xdr:nvGraphicFramePr>
        <xdr:cNvPr id="1" name=""/>
        <xdr:cNvGraphicFramePr/>
      </xdr:nvGraphicFramePr>
      <xdr:xfrm>
        <a:off x="5242680" y="8471880"/>
        <a:ext cx="9123120" cy="73137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11</xdr:col>
      <xdr:colOff>26640</xdr:colOff>
      <xdr:row>100</xdr:row>
      <xdr:rowOff>38880</xdr:rowOff>
    </xdr:from>
    <xdr:to>
      <xdr:col>26</xdr:col>
      <xdr:colOff>291960</xdr:colOff>
      <xdr:row>145</xdr:row>
      <xdr:rowOff>37440</xdr:rowOff>
    </xdr:to>
    <xdr:graphicFrame>
      <xdr:nvGraphicFramePr>
        <xdr:cNvPr id="2" name=""/>
        <xdr:cNvGraphicFramePr/>
      </xdr:nvGraphicFramePr>
      <xdr:xfrm>
        <a:off x="6817680" y="16294680"/>
        <a:ext cx="9123840" cy="73137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10</xdr:col>
      <xdr:colOff>172440</xdr:colOff>
      <xdr:row>174</xdr:row>
      <xdr:rowOff>86400</xdr:rowOff>
    </xdr:from>
    <xdr:to>
      <xdr:col>25</xdr:col>
      <xdr:colOff>438120</xdr:colOff>
      <xdr:row>219</xdr:row>
      <xdr:rowOff>84960</xdr:rowOff>
    </xdr:to>
    <xdr:graphicFrame>
      <xdr:nvGraphicFramePr>
        <xdr:cNvPr id="3" name=""/>
        <xdr:cNvGraphicFramePr/>
      </xdr:nvGraphicFramePr>
      <xdr:xfrm>
        <a:off x="6373080" y="28371600"/>
        <a:ext cx="9123840" cy="73137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10</xdr:col>
      <xdr:colOff>438840</xdr:colOff>
      <xdr:row>298</xdr:row>
      <xdr:rowOff>115200</xdr:rowOff>
    </xdr:from>
    <xdr:to>
      <xdr:col>26</xdr:col>
      <xdr:colOff>113760</xdr:colOff>
      <xdr:row>343</xdr:row>
      <xdr:rowOff>113760</xdr:rowOff>
    </xdr:to>
    <xdr:graphicFrame>
      <xdr:nvGraphicFramePr>
        <xdr:cNvPr id="4" name=""/>
        <xdr:cNvGraphicFramePr/>
      </xdr:nvGraphicFramePr>
      <xdr:xfrm>
        <a:off x="6639480" y="48557880"/>
        <a:ext cx="9123840" cy="73137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3:J329"/>
  <sheetViews>
    <sheetView windowProtection="false" showFormulas="false" showGridLines="true" showRowColHeaders="true" showZeros="true" rightToLeft="false" tabSelected="true" showOutlineSymbols="true" defaultGridColor="true" view="normal" topLeftCell="A320" colorId="64" zoomScale="100" zoomScaleNormal="100" zoomScalePageLayoutView="100" workbookViewId="0">
      <selection pane="topLeft" activeCell="Q354" activeCellId="0" sqref="Q354"/>
    </sheetView>
  </sheetViews>
  <sheetFormatPr defaultRowHeight="12.8"/>
  <cols>
    <col collapsed="false" hidden="false" max="1" min="1" style="0" width="8.36734693877551"/>
    <col collapsed="false" hidden="false" max="2" min="2" style="0" width="10.530612244898"/>
    <col collapsed="false" hidden="false" max="3" min="3" style="0" width="10.3928571428571"/>
    <col collapsed="false" hidden="false" max="1025" min="4" style="0" width="8.36734693877551"/>
  </cols>
  <sheetData>
    <row r="3" customFormat="false" ht="12.8" hidden="false" customHeight="false" outlineLevel="0" collapsed="false">
      <c r="A3" s="1"/>
      <c r="B3" s="2"/>
      <c r="C3" s="3"/>
      <c r="D3" s="3"/>
      <c r="E3" s="3"/>
      <c r="F3" s="3"/>
      <c r="G3" s="3"/>
      <c r="H3" s="3"/>
      <c r="I3" s="3"/>
      <c r="J3" s="3"/>
    </row>
    <row r="4" customFormat="false" ht="12.8" hidden="false" customHeight="false" outlineLevel="0" collapsed="false">
      <c r="A4" s="4"/>
      <c r="B4" s="3"/>
      <c r="C4" s="3"/>
      <c r="D4" s="3"/>
      <c r="E4" s="3"/>
      <c r="G4" s="3"/>
      <c r="H4" s="3"/>
      <c r="I4" s="3"/>
      <c r="J4" s="3"/>
    </row>
    <row r="6" customFormat="false" ht="12.8" hidden="false" customHeight="false" outlineLevel="0" collapsed="false">
      <c r="B6" s="4"/>
      <c r="C6" s="4"/>
    </row>
    <row r="7" customFormat="false" ht="12.8" hidden="false" customHeight="false" outlineLevel="0" collapsed="false">
      <c r="B7" s="4"/>
      <c r="C7" s="4"/>
    </row>
    <row r="8" customFormat="false" ht="12.8" hidden="false" customHeight="false" outlineLevel="0" collapsed="false">
      <c r="B8" s="2"/>
      <c r="C8" s="3"/>
      <c r="D8" s="3"/>
      <c r="E8" s="3"/>
      <c r="F8" s="3"/>
      <c r="G8" s="3"/>
    </row>
    <row r="9" customFormat="false" ht="12.8" hidden="false" customHeight="false" outlineLevel="0" collapsed="false">
      <c r="A9" s="5" t="s">
        <v>0</v>
      </c>
      <c r="B9" s="6" t="s">
        <v>1</v>
      </c>
      <c r="C9" s="3"/>
      <c r="D9" s="3"/>
      <c r="E9" s="3"/>
      <c r="F9" s="7"/>
      <c r="G9" s="3"/>
    </row>
    <row r="10" customFormat="false" ht="12.8" hidden="false" customHeight="false" outlineLevel="0" collapsed="false">
      <c r="A10" s="4"/>
      <c r="B10" s="3" t="s">
        <v>2</v>
      </c>
      <c r="C10" s="4" t="s">
        <v>3</v>
      </c>
      <c r="D10" s="4" t="s">
        <v>4</v>
      </c>
      <c r="E10" s="4"/>
      <c r="F10" s="4"/>
      <c r="G10" s="3"/>
    </row>
    <row r="11" customFormat="false" ht="12.8" hidden="false" customHeight="false" outlineLevel="0" collapsed="false">
      <c r="A11" s="4" t="s">
        <v>5</v>
      </c>
      <c r="B11" s="4" t="n">
        <v>0</v>
      </c>
      <c r="C11" s="4" t="n">
        <v>1</v>
      </c>
      <c r="D11" s="4" t="n">
        <v>2</v>
      </c>
      <c r="E11" s="4" t="n">
        <v>3</v>
      </c>
      <c r="F11" s="4" t="n">
        <v>4</v>
      </c>
      <c r="G11" s="3" t="n">
        <v>5</v>
      </c>
      <c r="H11" s="3"/>
    </row>
    <row r="12" customFormat="false" ht="12.8" hidden="false" customHeight="false" outlineLevel="0" collapsed="false">
      <c r="A12" s="4" t="s">
        <v>6</v>
      </c>
      <c r="B12" s="4" t="n">
        <v>0.00220621</v>
      </c>
      <c r="C12" s="3" t="n">
        <v>0.000330816</v>
      </c>
      <c r="D12" s="8" t="n">
        <v>7.98603E-005</v>
      </c>
      <c r="E12" s="8" t="n">
        <v>1.81053E-005</v>
      </c>
      <c r="F12" s="8" t="n">
        <v>6.08643E-006</v>
      </c>
      <c r="G12" s="8" t="n">
        <v>3.29693E-006</v>
      </c>
    </row>
    <row r="13" customFormat="false" ht="12.8" hidden="false" customHeight="false" outlineLevel="0" collapsed="false">
      <c r="A13" s="4" t="s">
        <v>7</v>
      </c>
      <c r="B13" s="8" t="n">
        <v>5.46912E-006</v>
      </c>
      <c r="C13" s="8" t="n">
        <v>6.42975E-006</v>
      </c>
      <c r="D13" s="8" t="n">
        <v>8.03014E-006</v>
      </c>
      <c r="E13" s="8" t="n">
        <v>7.44621E-006</v>
      </c>
      <c r="F13" s="8" t="n">
        <v>4.93626E-006</v>
      </c>
      <c r="G13" s="8" t="n">
        <v>1.03891E-006</v>
      </c>
      <c r="J13" s="3"/>
    </row>
    <row r="14" customFormat="false" ht="12.8" hidden="false" customHeight="false" outlineLevel="0" collapsed="false">
      <c r="A14" s="4" t="s">
        <v>8</v>
      </c>
      <c r="B14" s="8" t="n">
        <v>1.63168E-005</v>
      </c>
      <c r="C14" s="8" t="n">
        <v>6.06199E-006</v>
      </c>
      <c r="D14" s="8" t="n">
        <v>4.38909E-006</v>
      </c>
      <c r="E14" s="8" t="n">
        <v>3.31302E-006</v>
      </c>
      <c r="F14" s="8" t="n">
        <v>2.75095E-006</v>
      </c>
      <c r="G14" s="8" t="n">
        <v>2.9856E-006</v>
      </c>
      <c r="I14" s="3"/>
      <c r="J14" s="3"/>
    </row>
    <row r="15" customFormat="false" ht="12.8" hidden="false" customHeight="false" outlineLevel="0" collapsed="false">
      <c r="A15" s="4"/>
      <c r="B15" s="8"/>
      <c r="C15" s="9"/>
      <c r="D15" s="9"/>
      <c r="E15" s="8"/>
      <c r="F15" s="9"/>
      <c r="G15" s="9"/>
      <c r="H15" s="8"/>
      <c r="I15" s="8"/>
      <c r="J15" s="8"/>
    </row>
    <row r="16" customFormat="false" ht="12.8" hidden="false" customHeight="false" outlineLevel="0" collapsed="false">
      <c r="A16" s="7" t="s">
        <v>9</v>
      </c>
      <c r="B16" s="3"/>
      <c r="D16" s="3"/>
      <c r="E16" s="3"/>
      <c r="F16" s="3"/>
      <c r="G16" s="3"/>
      <c r="H16" s="3"/>
      <c r="I16" s="8"/>
      <c r="J16" s="8"/>
    </row>
    <row r="17" customFormat="false" ht="12.8" hidden="false" customHeight="false" outlineLevel="0" collapsed="false">
      <c r="H17" s="8"/>
      <c r="I17" s="8"/>
      <c r="J17" s="8"/>
    </row>
    <row r="18" customFormat="false" ht="12.8" hidden="false" customHeight="false" outlineLevel="0" collapsed="false">
      <c r="H18" s="8"/>
      <c r="I18" s="8"/>
      <c r="J18" s="3"/>
    </row>
    <row r="19" customFormat="false" ht="12.8" hidden="false" customHeight="false" outlineLevel="0" collapsed="false">
      <c r="I19" s="3"/>
      <c r="J19" s="3"/>
    </row>
    <row r="20" customFormat="false" ht="12.8" hidden="false" customHeight="false" outlineLevel="0" collapsed="false">
      <c r="I20" s="3"/>
      <c r="J20" s="3"/>
    </row>
    <row r="21" customFormat="false" ht="12.8" hidden="false" customHeight="false" outlineLevel="0" collapsed="false">
      <c r="I21" s="3"/>
      <c r="J21" s="3"/>
    </row>
    <row r="22" customFormat="false" ht="12.8" hidden="false" customHeight="false" outlineLevel="0" collapsed="false">
      <c r="I22" s="3"/>
      <c r="J22" s="3"/>
    </row>
    <row r="23" customFormat="false" ht="12.8" hidden="false" customHeight="false" outlineLevel="0" collapsed="false">
      <c r="I23" s="3"/>
      <c r="J23" s="3"/>
    </row>
    <row r="24" customFormat="false" ht="12.8" hidden="false" customHeight="false" outlineLevel="0" collapsed="false">
      <c r="A24" s="10"/>
      <c r="I24" s="3"/>
      <c r="J24" s="3"/>
    </row>
    <row r="25" customFormat="false" ht="12.8" hidden="false" customHeight="false" outlineLevel="0" collapsed="false">
      <c r="G25" s="3"/>
      <c r="H25" s="3"/>
      <c r="I25" s="3"/>
      <c r="J25" s="3"/>
    </row>
    <row r="26" customFormat="false" ht="12.8" hidden="false" customHeight="false" outlineLevel="0" collapsed="false">
      <c r="G26" s="3"/>
      <c r="I26" s="3"/>
      <c r="J26" s="3"/>
    </row>
    <row r="27" customFormat="false" ht="12.8" hidden="false" customHeight="false" outlineLevel="0" collapsed="false">
      <c r="G27" s="3"/>
      <c r="I27" s="3"/>
      <c r="J27" s="3"/>
    </row>
    <row r="28" customFormat="false" ht="12.8" hidden="false" customHeight="false" outlineLevel="0" collapsed="false">
      <c r="G28" s="3"/>
      <c r="I28" s="3"/>
      <c r="J28" s="3"/>
    </row>
    <row r="29" customFormat="false" ht="12.8" hidden="false" customHeight="false" outlineLevel="0" collapsed="false">
      <c r="G29" s="9"/>
      <c r="H29" s="8"/>
      <c r="I29" s="8"/>
      <c r="J29" s="8"/>
    </row>
    <row r="30" customFormat="false" ht="12.8" hidden="false" customHeight="false" outlineLevel="0" collapsed="false">
      <c r="H30" s="3"/>
      <c r="I30" s="8"/>
      <c r="J30" s="8"/>
    </row>
    <row r="31" customFormat="false" ht="12.8" hidden="false" customHeight="false" outlineLevel="0" collapsed="false">
      <c r="G31" s="9"/>
      <c r="H31" s="8"/>
      <c r="I31" s="8"/>
      <c r="J31" s="8"/>
    </row>
    <row r="32" customFormat="false" ht="12.8" hidden="false" customHeight="false" outlineLevel="0" collapsed="false">
      <c r="G32" s="9"/>
      <c r="H32" s="8"/>
      <c r="I32" s="8"/>
      <c r="J32" s="3"/>
    </row>
    <row r="33" customFormat="false" ht="12.8" hidden="false" customHeight="false" outlineLevel="0" collapsed="false">
      <c r="J33" s="3"/>
    </row>
    <row r="34" customFormat="false" ht="12.8" hidden="false" customHeight="false" outlineLevel="0" collapsed="false">
      <c r="J34" s="3"/>
    </row>
    <row r="37" customFormat="false" ht="12.8" hidden="false" customHeight="false" outlineLevel="0" collapsed="false">
      <c r="F37" s="3"/>
    </row>
    <row r="38" customFormat="false" ht="12.8" hidden="false" customHeight="false" outlineLevel="0" collapsed="false">
      <c r="F38" s="7"/>
    </row>
    <row r="39" customFormat="false" ht="12.8" hidden="false" customHeight="false" outlineLevel="0" collapsed="false">
      <c r="F39" s="4"/>
    </row>
    <row r="40" customFormat="false" ht="12.8" hidden="false" customHeight="false" outlineLevel="0" collapsed="false">
      <c r="F40" s="4"/>
    </row>
    <row r="41" customFormat="false" ht="12.8" hidden="false" customHeight="false" outlineLevel="0" collapsed="false">
      <c r="F41" s="9"/>
    </row>
    <row r="43" customFormat="false" ht="12.8" hidden="false" customHeight="false" outlineLevel="0" collapsed="false">
      <c r="F43" s="9"/>
    </row>
    <row r="44" customFormat="false" ht="12.8" hidden="false" customHeight="false" outlineLevel="0" collapsed="false">
      <c r="F44" s="9"/>
    </row>
    <row r="52" customFormat="false" ht="12.8" hidden="false" customHeight="false" outlineLevel="0" collapsed="false">
      <c r="G52" s="3"/>
      <c r="H52" s="3"/>
      <c r="I52" s="3"/>
      <c r="J52" s="3"/>
    </row>
    <row r="53" customFormat="false" ht="12.8" hidden="false" customHeight="false" outlineLevel="0" collapsed="false">
      <c r="G53" s="3"/>
      <c r="H53" s="3"/>
      <c r="I53" s="3"/>
      <c r="J53" s="3"/>
    </row>
    <row r="54" customFormat="false" ht="12.8" hidden="false" customHeight="false" outlineLevel="0" collapsed="false">
      <c r="G54" s="3"/>
      <c r="H54" s="3"/>
      <c r="I54" s="3"/>
      <c r="J54" s="3"/>
    </row>
    <row r="60" customFormat="false" ht="12.8" hidden="false" customHeight="false" outlineLevel="0" collapsed="false">
      <c r="B60" s="4"/>
      <c r="C60" s="4"/>
    </row>
    <row r="61" customFormat="false" ht="12.8" hidden="false" customHeight="false" outlineLevel="0" collapsed="false">
      <c r="B61" s="2"/>
      <c r="C61" s="3"/>
      <c r="D61" s="3"/>
      <c r="E61" s="3"/>
      <c r="F61" s="3"/>
      <c r="G61" s="3"/>
    </row>
    <row r="62" customFormat="false" ht="12.8" hidden="false" customHeight="false" outlineLevel="0" collapsed="false">
      <c r="A62" s="5" t="s">
        <v>0</v>
      </c>
      <c r="B62" s="6" t="s">
        <v>1</v>
      </c>
      <c r="C62" s="3"/>
      <c r="D62" s="3"/>
      <c r="E62" s="3"/>
      <c r="F62" s="7"/>
      <c r="G62" s="3"/>
    </row>
    <row r="63" customFormat="false" ht="12.8" hidden="false" customHeight="false" outlineLevel="0" collapsed="false">
      <c r="A63" s="4"/>
      <c r="B63" s="3" t="s">
        <v>10</v>
      </c>
      <c r="C63" s="4" t="s">
        <v>11</v>
      </c>
      <c r="D63" s="4" t="s">
        <v>4</v>
      </c>
      <c r="E63" s="4"/>
      <c r="F63" s="4"/>
      <c r="G63" s="3"/>
    </row>
    <row r="64" customFormat="false" ht="12.8" hidden="false" customHeight="false" outlineLevel="0" collapsed="false">
      <c r="A64" s="4" t="s">
        <v>5</v>
      </c>
      <c r="B64" s="4" t="n">
        <v>0</v>
      </c>
      <c r="C64" s="4" t="n">
        <v>1</v>
      </c>
      <c r="D64" s="4" t="n">
        <v>2</v>
      </c>
      <c r="E64" s="4" t="n">
        <v>3</v>
      </c>
      <c r="F64" s="4" t="n">
        <v>4</v>
      </c>
      <c r="G64" s="3"/>
    </row>
    <row r="65" customFormat="false" ht="12.8" hidden="false" customHeight="false" outlineLevel="0" collapsed="false">
      <c r="A65" s="4" t="s">
        <v>6</v>
      </c>
      <c r="B65" s="3" t="n">
        <v>0.000156325</v>
      </c>
      <c r="C65" s="8" t="n">
        <v>4.56597E-005</v>
      </c>
      <c r="D65" s="8" t="n">
        <v>1.21129E-005</v>
      </c>
      <c r="E65" s="8" t="n">
        <v>4.87064E-006</v>
      </c>
      <c r="F65" s="8" t="n">
        <v>3.36697E-006</v>
      </c>
      <c r="G65" s="9"/>
    </row>
    <row r="66" customFormat="false" ht="12.8" hidden="false" customHeight="false" outlineLevel="0" collapsed="false">
      <c r="A66" s="4" t="s">
        <v>7</v>
      </c>
      <c r="B66" s="8" t="n">
        <v>4.76817E-006</v>
      </c>
      <c r="C66" s="8" t="n">
        <v>7.7899E-006</v>
      </c>
      <c r="D66" s="8" t="n">
        <v>1.02138E-005</v>
      </c>
      <c r="E66" s="8" t="n">
        <v>7.76969E-006</v>
      </c>
      <c r="F66" s="8" t="n">
        <v>1.61052E-006</v>
      </c>
      <c r="G66" s="9"/>
    </row>
    <row r="67" customFormat="false" ht="12.8" hidden="false" customHeight="false" outlineLevel="0" collapsed="false">
      <c r="A67" s="4" t="s">
        <v>8</v>
      </c>
      <c r="B67" s="8" t="n">
        <v>8.68191E-006</v>
      </c>
      <c r="C67" s="8" t="n">
        <v>7.02764E-006</v>
      </c>
      <c r="D67" s="8" t="n">
        <v>5.26885E-006</v>
      </c>
      <c r="E67" s="8" t="n">
        <v>8.1682E-006</v>
      </c>
      <c r="F67" s="8" t="n">
        <v>2.17411E-005</v>
      </c>
      <c r="G67" s="9"/>
    </row>
    <row r="68" customFormat="false" ht="12.8" hidden="false" customHeight="false" outlineLevel="0" collapsed="false">
      <c r="A68" s="4"/>
      <c r="B68" s="8"/>
      <c r="C68" s="9"/>
      <c r="D68" s="9"/>
      <c r="E68" s="8"/>
      <c r="F68" s="9"/>
      <c r="G68" s="9"/>
    </row>
    <row r="69" customFormat="false" ht="12.8" hidden="false" customHeight="false" outlineLevel="0" collapsed="false">
      <c r="A69" s="7" t="s">
        <v>12</v>
      </c>
      <c r="B69" s="3"/>
      <c r="D69" s="3"/>
      <c r="E69" s="3"/>
      <c r="F69" s="3"/>
      <c r="G69" s="3"/>
    </row>
    <row r="101" customFormat="false" ht="12.8" hidden="false" customHeight="false" outlineLevel="0" collapsed="false">
      <c r="B101" s="2"/>
      <c r="C101" s="3"/>
      <c r="D101" s="3"/>
      <c r="E101" s="3"/>
    </row>
    <row r="102" customFormat="false" ht="12.8" hidden="false" customHeight="false" outlineLevel="0" collapsed="false">
      <c r="A102" s="4"/>
      <c r="B102" s="3"/>
      <c r="C102" s="4"/>
      <c r="D102" s="4"/>
      <c r="E102" s="3"/>
    </row>
    <row r="103" customFormat="false" ht="12.8" hidden="false" customHeight="false" outlineLevel="0" collapsed="false">
      <c r="B103" s="4"/>
      <c r="C103" s="4"/>
      <c r="D103" s="4"/>
      <c r="E103" s="4"/>
    </row>
    <row r="104" customFormat="false" ht="12.8" hidden="false" customHeight="false" outlineLevel="0" collapsed="false">
      <c r="A104" s="4"/>
      <c r="B104" s="3"/>
      <c r="C104" s="9"/>
      <c r="E104" s="4"/>
    </row>
    <row r="105" customFormat="false" ht="12.8" hidden="false" customHeight="false" outlineLevel="0" collapsed="false">
      <c r="A105" s="4"/>
      <c r="B105" s="8"/>
      <c r="E105" s="8"/>
    </row>
    <row r="106" customFormat="false" ht="12.8" hidden="false" customHeight="false" outlineLevel="0" collapsed="false">
      <c r="A106" s="4"/>
      <c r="B106" s="3"/>
      <c r="D106" s="9"/>
      <c r="E106" s="3"/>
    </row>
    <row r="107" customFormat="false" ht="12.8" hidden="false" customHeight="false" outlineLevel="0" collapsed="false">
      <c r="A107" s="5" t="s">
        <v>0</v>
      </c>
      <c r="B107" s="6" t="s">
        <v>1</v>
      </c>
      <c r="C107" s="3"/>
      <c r="D107" s="3"/>
      <c r="E107" s="3"/>
      <c r="F107" s="7"/>
    </row>
    <row r="108" customFormat="false" ht="12.8" hidden="false" customHeight="false" outlineLevel="0" collapsed="false">
      <c r="A108" s="4"/>
      <c r="B108" s="3" t="s">
        <v>13</v>
      </c>
      <c r="C108" s="4" t="s">
        <v>14</v>
      </c>
      <c r="D108" s="4" t="s">
        <v>15</v>
      </c>
      <c r="E108" s="4"/>
      <c r="F108" s="4"/>
      <c r="G108" s="3"/>
      <c r="H108" s="3"/>
    </row>
    <row r="109" customFormat="false" ht="12.8" hidden="false" customHeight="false" outlineLevel="0" collapsed="false">
      <c r="A109" s="4" t="s">
        <v>5</v>
      </c>
      <c r="B109" s="4" t="n">
        <v>0</v>
      </c>
      <c r="C109" s="4" t="n">
        <v>1</v>
      </c>
      <c r="D109" s="4" t="n">
        <v>2</v>
      </c>
      <c r="E109" s="4" t="n">
        <v>3</v>
      </c>
      <c r="F109" s="4" t="n">
        <v>4</v>
      </c>
      <c r="H109" s="3" t="n">
        <v>5</v>
      </c>
      <c r="I109" s="3" t="n">
        <v>6</v>
      </c>
    </row>
    <row r="110" customFormat="false" ht="12.8" hidden="false" customHeight="false" outlineLevel="0" collapsed="false">
      <c r="A110" s="4" t="s">
        <v>16</v>
      </c>
      <c r="B110" s="8" t="n">
        <v>9.17174E-005</v>
      </c>
      <c r="C110" s="8" t="n">
        <v>3.60396E-005</v>
      </c>
      <c r="D110" s="8" t="n">
        <v>6.25461E-006</v>
      </c>
      <c r="E110" s="8" t="n">
        <v>9.13797E-007</v>
      </c>
      <c r="F110" s="8" t="n">
        <v>6.66049E-007</v>
      </c>
      <c r="H110" s="8" t="n">
        <v>8.05358E-007</v>
      </c>
      <c r="I110" s="8" t="n">
        <v>8.1078E-007</v>
      </c>
    </row>
    <row r="111" customFormat="false" ht="12.8" hidden="false" customHeight="false" outlineLevel="0" collapsed="false">
      <c r="A111" s="4" t="s">
        <v>17</v>
      </c>
      <c r="B111" s="8" t="n">
        <v>4.94705E-006</v>
      </c>
      <c r="C111" s="8" t="n">
        <v>8.1958E-006</v>
      </c>
      <c r="D111" s="8" t="n">
        <v>9.71926E-006</v>
      </c>
      <c r="E111" s="8" t="n">
        <v>3.80686E-006</v>
      </c>
      <c r="F111" s="8" t="n">
        <v>1.37255E-006</v>
      </c>
      <c r="H111" s="8" t="n">
        <v>8.73076E-007</v>
      </c>
      <c r="I111" s="8" t="n">
        <v>5.6141E-007</v>
      </c>
    </row>
    <row r="112" customFormat="false" ht="12.8" hidden="false" customHeight="false" outlineLevel="0" collapsed="false">
      <c r="A112" s="4" t="s">
        <v>18</v>
      </c>
      <c r="B112" s="8" t="n">
        <v>6.99984E-006</v>
      </c>
      <c r="C112" s="8" t="n">
        <v>5.78187E-006</v>
      </c>
      <c r="D112" s="8" t="n">
        <v>5.34548E-006</v>
      </c>
      <c r="E112" s="8" t="n">
        <v>1.2277E-005</v>
      </c>
      <c r="F112" s="3" t="n">
        <v>0.000753847</v>
      </c>
      <c r="H112" s="3" t="n">
        <v>0.00304455</v>
      </c>
      <c r="I112" s="3" t="n">
        <v>0.00274197</v>
      </c>
    </row>
    <row r="114" customFormat="false" ht="12.8" hidden="false" customHeight="false" outlineLevel="0" collapsed="false">
      <c r="A114" s="0" t="s">
        <v>19</v>
      </c>
    </row>
    <row r="116" customFormat="false" ht="12.8" hidden="false" customHeight="false" outlineLevel="0" collapsed="false">
      <c r="A116" s="0" t="s">
        <v>20</v>
      </c>
    </row>
    <row r="117" customFormat="false" ht="12.8" hidden="false" customHeight="false" outlineLevel="0" collapsed="false">
      <c r="A117" s="0" t="s">
        <v>21</v>
      </c>
    </row>
    <row r="118" customFormat="false" ht="12.8" hidden="false" customHeight="false" outlineLevel="0" collapsed="false">
      <c r="A118" s="0" t="s">
        <v>22</v>
      </c>
    </row>
    <row r="119" customFormat="false" ht="12.8" hidden="false" customHeight="false" outlineLevel="0" collapsed="false">
      <c r="A119" s="0" t="s">
        <v>23</v>
      </c>
    </row>
    <row r="120" customFormat="false" ht="12.8" hidden="false" customHeight="false" outlineLevel="0" collapsed="false">
      <c r="A120" s="0" t="s">
        <v>24</v>
      </c>
    </row>
    <row r="122" customFormat="false" ht="12.8" hidden="false" customHeight="false" outlineLevel="0" collapsed="false">
      <c r="A122" s="0" t="s">
        <v>25</v>
      </c>
    </row>
    <row r="124" customFormat="false" ht="12.8" hidden="false" customHeight="false" outlineLevel="0" collapsed="false">
      <c r="A124" s="0" t="s">
        <v>26</v>
      </c>
    </row>
    <row r="126" customFormat="false" ht="12.8" hidden="false" customHeight="false" outlineLevel="0" collapsed="false">
      <c r="A126" s="0" t="s">
        <v>27</v>
      </c>
    </row>
    <row r="127" customFormat="false" ht="12.8" hidden="false" customHeight="false" outlineLevel="0" collapsed="false">
      <c r="A127" s="0" t="s">
        <v>28</v>
      </c>
    </row>
    <row r="129" customFormat="false" ht="12.8" hidden="false" customHeight="false" outlineLevel="0" collapsed="false">
      <c r="A129" s="0" t="s">
        <v>29</v>
      </c>
    </row>
    <row r="130" customFormat="false" ht="12.8" hidden="false" customHeight="false" outlineLevel="0" collapsed="false">
      <c r="A130" s="0" t="s">
        <v>21</v>
      </c>
    </row>
    <row r="131" customFormat="false" ht="12.8" hidden="false" customHeight="false" outlineLevel="0" collapsed="false">
      <c r="A131" s="0" t="s">
        <v>30</v>
      </c>
    </row>
    <row r="132" customFormat="false" ht="12.8" hidden="false" customHeight="false" outlineLevel="0" collapsed="false">
      <c r="A132" s="0" t="s">
        <v>31</v>
      </c>
    </row>
    <row r="133" customFormat="false" ht="12.8" hidden="false" customHeight="false" outlineLevel="0" collapsed="false">
      <c r="A133" s="0" t="s">
        <v>32</v>
      </c>
    </row>
    <row r="135" customFormat="false" ht="12.8" hidden="false" customHeight="false" outlineLevel="0" collapsed="false">
      <c r="A135" s="0" t="s">
        <v>33</v>
      </c>
    </row>
    <row r="137" customFormat="false" ht="12.8" hidden="false" customHeight="false" outlineLevel="0" collapsed="false">
      <c r="A137" s="0" t="s">
        <v>34</v>
      </c>
    </row>
    <row r="139" customFormat="false" ht="12.8" hidden="false" customHeight="false" outlineLevel="0" collapsed="false">
      <c r="A139" s="0" t="s">
        <v>35</v>
      </c>
    </row>
    <row r="140" customFormat="false" ht="12.8" hidden="false" customHeight="false" outlineLevel="0" collapsed="false">
      <c r="A140" s="0" t="s">
        <v>28</v>
      </c>
    </row>
    <row r="142" customFormat="false" ht="12.8" hidden="false" customHeight="false" outlineLevel="0" collapsed="false">
      <c r="A142" s="0" t="s">
        <v>36</v>
      </c>
    </row>
    <row r="143" customFormat="false" ht="12.8" hidden="false" customHeight="false" outlineLevel="0" collapsed="false">
      <c r="A143" s="0" t="s">
        <v>21</v>
      </c>
    </row>
    <row r="144" customFormat="false" ht="12.8" hidden="false" customHeight="false" outlineLevel="0" collapsed="false">
      <c r="A144" s="0" t="s">
        <v>37</v>
      </c>
    </row>
    <row r="145" customFormat="false" ht="12.8" hidden="false" customHeight="false" outlineLevel="0" collapsed="false">
      <c r="A145" s="0" t="s">
        <v>38</v>
      </c>
    </row>
    <row r="146" customFormat="false" ht="12.8" hidden="false" customHeight="false" outlineLevel="0" collapsed="false">
      <c r="A146" s="0" t="s">
        <v>39</v>
      </c>
    </row>
    <row r="148" customFormat="false" ht="12.8" hidden="false" customHeight="false" outlineLevel="0" collapsed="false">
      <c r="A148" s="0" t="s">
        <v>40</v>
      </c>
    </row>
    <row r="150" customFormat="false" ht="12.8" hidden="false" customHeight="false" outlineLevel="0" collapsed="false">
      <c r="A150" s="0" t="s">
        <v>41</v>
      </c>
    </row>
    <row r="152" customFormat="false" ht="12.8" hidden="false" customHeight="false" outlineLevel="0" collapsed="false">
      <c r="A152" s="0" t="s">
        <v>42</v>
      </c>
    </row>
    <row r="153" customFormat="false" ht="12.8" hidden="false" customHeight="false" outlineLevel="0" collapsed="false">
      <c r="A153" s="0" t="s">
        <v>28</v>
      </c>
    </row>
    <row r="155" customFormat="false" ht="12.8" hidden="false" customHeight="false" outlineLevel="0" collapsed="false">
      <c r="A155" s="0" t="s">
        <v>43</v>
      </c>
    </row>
    <row r="156" customFormat="false" ht="12.8" hidden="false" customHeight="false" outlineLevel="0" collapsed="false">
      <c r="A156" s="0" t="s">
        <v>21</v>
      </c>
    </row>
    <row r="157" customFormat="false" ht="12.8" hidden="false" customHeight="false" outlineLevel="0" collapsed="false">
      <c r="A157" s="0" t="s">
        <v>44</v>
      </c>
    </row>
    <row r="158" customFormat="false" ht="12.8" hidden="false" customHeight="false" outlineLevel="0" collapsed="false">
      <c r="A158" s="0" t="s">
        <v>45</v>
      </c>
    </row>
    <row r="159" customFormat="false" ht="12.8" hidden="false" customHeight="false" outlineLevel="0" collapsed="false">
      <c r="A159" s="0" t="s">
        <v>46</v>
      </c>
    </row>
    <row r="161" customFormat="false" ht="12.8" hidden="false" customHeight="false" outlineLevel="0" collapsed="false">
      <c r="A161" s="0" t="s">
        <v>47</v>
      </c>
    </row>
    <row r="163" customFormat="false" ht="12.8" hidden="false" customHeight="false" outlineLevel="0" collapsed="false">
      <c r="A163" s="0" t="s">
        <v>48</v>
      </c>
    </row>
    <row r="165" customFormat="false" ht="12.8" hidden="false" customHeight="false" outlineLevel="0" collapsed="false">
      <c r="A165" s="0" t="s">
        <v>49</v>
      </c>
    </row>
    <row r="166" customFormat="false" ht="12.8" hidden="false" customHeight="false" outlineLevel="0" collapsed="false">
      <c r="A166" s="0" t="s">
        <v>28</v>
      </c>
    </row>
    <row r="168" customFormat="false" ht="12.8" hidden="false" customHeight="false" outlineLevel="0" collapsed="false">
      <c r="A168" s="0" t="s">
        <v>50</v>
      </c>
    </row>
    <row r="169" customFormat="false" ht="12.8" hidden="false" customHeight="false" outlineLevel="0" collapsed="false">
      <c r="A169" s="0" t="s">
        <v>21</v>
      </c>
    </row>
    <row r="170" customFormat="false" ht="12.8" hidden="false" customHeight="false" outlineLevel="0" collapsed="false">
      <c r="A170" s="0" t="s">
        <v>51</v>
      </c>
    </row>
    <row r="171" customFormat="false" ht="12.8" hidden="false" customHeight="false" outlineLevel="0" collapsed="false">
      <c r="A171" s="0" t="s">
        <v>52</v>
      </c>
    </row>
    <row r="172" customFormat="false" ht="12.8" hidden="false" customHeight="false" outlineLevel="0" collapsed="false">
      <c r="A172" s="0" t="s">
        <v>53</v>
      </c>
    </row>
    <row r="188" customFormat="false" ht="12.8" hidden="false" customHeight="false" outlineLevel="0" collapsed="false">
      <c r="A188" s="5" t="s">
        <v>54</v>
      </c>
      <c r="B188" s="6" t="s">
        <v>1</v>
      </c>
      <c r="C188" s="3" t="s">
        <v>55</v>
      </c>
      <c r="D188" s="3" t="s">
        <v>56</v>
      </c>
    </row>
    <row r="189" customFormat="false" ht="12.8" hidden="false" customHeight="false" outlineLevel="0" collapsed="false">
      <c r="A189" s="4"/>
      <c r="B189" s="3" t="s">
        <v>13</v>
      </c>
      <c r="C189" s="4" t="s">
        <v>14</v>
      </c>
      <c r="D189" s="4" t="s">
        <v>15</v>
      </c>
    </row>
    <row r="190" customFormat="false" ht="12.8" hidden="false" customHeight="false" outlineLevel="0" collapsed="false">
      <c r="A190" s="4" t="s">
        <v>5</v>
      </c>
      <c r="B190" s="4" t="n">
        <v>0</v>
      </c>
      <c r="C190" s="4" t="n">
        <v>1</v>
      </c>
      <c r="D190" s="4" t="n">
        <v>2</v>
      </c>
      <c r="E190" s="4" t="n">
        <v>3</v>
      </c>
      <c r="F190" s="4" t="n">
        <v>4</v>
      </c>
      <c r="G190" s="3" t="n">
        <v>5</v>
      </c>
      <c r="H190" s="3" t="n">
        <v>6</v>
      </c>
    </row>
    <row r="191" customFormat="false" ht="12.8" hidden="false" customHeight="false" outlineLevel="0" collapsed="false">
      <c r="A191" s="4" t="s">
        <v>16</v>
      </c>
      <c r="B191" s="9" t="n">
        <v>6.19283E-005</v>
      </c>
      <c r="C191" s="9" t="n">
        <v>2.37512E-005</v>
      </c>
      <c r="D191" s="9" t="n">
        <v>4.18329E-006</v>
      </c>
      <c r="E191" s="9" t="n">
        <v>7.20844E-007</v>
      </c>
      <c r="F191" s="9" t="n">
        <v>8.01947E-007</v>
      </c>
      <c r="G191" s="9" t="n">
        <v>4.50313E-007</v>
      </c>
      <c r="H191" s="9" t="n">
        <v>3.72595E-007</v>
      </c>
    </row>
    <row r="192" customFormat="false" ht="12.8" hidden="false" customHeight="false" outlineLevel="0" collapsed="false">
      <c r="A192" s="4" t="s">
        <v>17</v>
      </c>
      <c r="B192" s="9" t="n">
        <v>4.10561E-006</v>
      </c>
      <c r="C192" s="9" t="n">
        <v>5.98348E-006</v>
      </c>
      <c r="D192" s="9" t="n">
        <v>6.26541E-006</v>
      </c>
      <c r="E192" s="9" t="n">
        <v>2.56808E-006</v>
      </c>
      <c r="F192" s="9" t="n">
        <v>2.5174E-006</v>
      </c>
      <c r="G192" s="9" t="n">
        <v>5.35349E-007</v>
      </c>
      <c r="H192" s="9" t="n">
        <v>2.55108E-007</v>
      </c>
    </row>
    <row r="193" customFormat="false" ht="12.8" hidden="false" customHeight="false" outlineLevel="0" collapsed="false">
      <c r="A193" s="4" t="s">
        <v>18</v>
      </c>
      <c r="B193" s="9" t="n">
        <v>6.315E-006</v>
      </c>
      <c r="C193" s="9" t="n">
        <v>5.09799E-006</v>
      </c>
      <c r="D193" s="9" t="n">
        <v>5.37333E-006</v>
      </c>
      <c r="E193" s="9" t="n">
        <v>1.1355E-005</v>
      </c>
      <c r="F193" s="9" t="n">
        <v>1.45089E-005</v>
      </c>
      <c r="G193" s="9" t="n">
        <v>4.66621E-005</v>
      </c>
      <c r="H193" s="9" t="n">
        <v>5.23342E-006</v>
      </c>
    </row>
    <row r="201" customFormat="false" ht="12.8" hidden="false" customHeight="false" outlineLevel="0" collapsed="false">
      <c r="A201" s="0" t="s">
        <v>57</v>
      </c>
    </row>
    <row r="203" customFormat="false" ht="12.8" hidden="false" customHeight="false" outlineLevel="0" collapsed="false">
      <c r="A203" s="0" t="s">
        <v>58</v>
      </c>
    </row>
    <row r="206" customFormat="false" ht="12.8" hidden="false" customHeight="false" outlineLevel="0" collapsed="false">
      <c r="A206" s="0" t="s">
        <v>59</v>
      </c>
    </row>
    <row r="208" customFormat="false" ht="12.8" hidden="false" customHeight="false" outlineLevel="0" collapsed="false">
      <c r="A208" s="0" t="s">
        <v>60</v>
      </c>
    </row>
    <row r="209" customFormat="false" ht="12.8" hidden="false" customHeight="false" outlineLevel="0" collapsed="false">
      <c r="A209" s="0" t="s">
        <v>28</v>
      </c>
    </row>
    <row r="211" customFormat="false" ht="12.8" hidden="false" customHeight="false" outlineLevel="0" collapsed="false">
      <c r="A211" s="0" t="s">
        <v>61</v>
      </c>
    </row>
    <row r="212" customFormat="false" ht="12.8" hidden="false" customHeight="false" outlineLevel="0" collapsed="false">
      <c r="A212" s="0" t="s">
        <v>62</v>
      </c>
    </row>
    <row r="213" customFormat="false" ht="12.8" hidden="false" customHeight="false" outlineLevel="0" collapsed="false">
      <c r="A213" s="0" t="s">
        <v>63</v>
      </c>
      <c r="B213" s="0" t="n">
        <f aca="false"> 999999</f>
        <v>999999</v>
      </c>
    </row>
    <row r="214" customFormat="false" ht="12.8" hidden="false" customHeight="false" outlineLevel="0" collapsed="false">
      <c r="A214" s="0" t="s">
        <v>64</v>
      </c>
      <c r="B214" s="0" t="n">
        <f aca="false"> 4995991</f>
        <v>4995991</v>
      </c>
    </row>
    <row r="215" customFormat="false" ht="12.8" hidden="false" customHeight="false" outlineLevel="0" collapsed="false">
      <c r="A215" s="0" t="s">
        <v>65</v>
      </c>
      <c r="B215" s="0" t="n">
        <f aca="false"> 0.0014</f>
        <v>0.0014</v>
      </c>
    </row>
    <row r="217" customFormat="false" ht="12.8" hidden="false" customHeight="false" outlineLevel="0" collapsed="false">
      <c r="A217" s="0" t="s">
        <v>25</v>
      </c>
    </row>
    <row r="218" customFormat="false" ht="12.8" hidden="false" customHeight="false" outlineLevel="0" collapsed="false">
      <c r="A218" s="0" t="s">
        <v>66</v>
      </c>
    </row>
    <row r="220" customFormat="false" ht="12.8" hidden="false" customHeight="false" outlineLevel="0" collapsed="false">
      <c r="A220" s="0" t="s">
        <v>67</v>
      </c>
    </row>
    <row r="222" customFormat="false" ht="12.8" hidden="false" customHeight="false" outlineLevel="0" collapsed="false">
      <c r="A222" s="0" t="s">
        <v>68</v>
      </c>
    </row>
    <row r="223" customFormat="false" ht="12.8" hidden="false" customHeight="false" outlineLevel="0" collapsed="false">
      <c r="A223" s="0" t="s">
        <v>28</v>
      </c>
    </row>
    <row r="225" customFormat="false" ht="12.8" hidden="false" customHeight="false" outlineLevel="0" collapsed="false">
      <c r="A225" s="0" t="s">
        <v>69</v>
      </c>
    </row>
    <row r="226" customFormat="false" ht="12.8" hidden="false" customHeight="false" outlineLevel="0" collapsed="false">
      <c r="A226" s="0" t="s">
        <v>62</v>
      </c>
    </row>
    <row r="227" customFormat="false" ht="12.8" hidden="false" customHeight="false" outlineLevel="0" collapsed="false">
      <c r="A227" s="0" t="s">
        <v>63</v>
      </c>
      <c r="B227" s="0" t="n">
        <f aca="false"> 209053</f>
        <v>209053</v>
      </c>
    </row>
    <row r="228" customFormat="false" ht="12.8" hidden="false" customHeight="false" outlineLevel="0" collapsed="false">
      <c r="A228" s="0" t="s">
        <v>64</v>
      </c>
      <c r="B228" s="0" t="n">
        <f aca="false"> 2226863</f>
        <v>2226863</v>
      </c>
    </row>
    <row r="229" customFormat="false" ht="12.8" hidden="false" customHeight="false" outlineLevel="0" collapsed="false">
      <c r="A229" s="0" t="s">
        <v>65</v>
      </c>
      <c r="B229" s="0" t="n">
        <f aca="false"> 0.003</f>
        <v>0.003</v>
      </c>
    </row>
    <row r="231" customFormat="false" ht="12.8" hidden="false" customHeight="false" outlineLevel="0" collapsed="false">
      <c r="A231" s="0" t="s">
        <v>33</v>
      </c>
    </row>
    <row r="232" customFormat="false" ht="12.8" hidden="false" customHeight="false" outlineLevel="0" collapsed="false">
      <c r="A232" s="0" t="s">
        <v>70</v>
      </c>
    </row>
    <row r="234" customFormat="false" ht="12.8" hidden="false" customHeight="false" outlineLevel="0" collapsed="false">
      <c r="A234" s="0" t="s">
        <v>71</v>
      </c>
    </row>
    <row r="236" customFormat="false" ht="12.8" hidden="false" customHeight="false" outlineLevel="0" collapsed="false">
      <c r="A236" s="0" t="s">
        <v>72</v>
      </c>
    </row>
    <row r="237" customFormat="false" ht="12.8" hidden="false" customHeight="false" outlineLevel="0" collapsed="false">
      <c r="A237" s="5" t="s">
        <v>28</v>
      </c>
      <c r="B237" s="6"/>
      <c r="C237" s="3"/>
      <c r="D237" s="3"/>
    </row>
    <row r="238" customFormat="false" ht="12.8" hidden="false" customHeight="false" outlineLevel="0" collapsed="false">
      <c r="A238" s="4"/>
      <c r="B238" s="3"/>
      <c r="C238" s="4"/>
      <c r="D238" s="4"/>
    </row>
    <row r="239" customFormat="false" ht="12.8" hidden="false" customHeight="false" outlineLevel="0" collapsed="false">
      <c r="A239" s="4" t="s">
        <v>73</v>
      </c>
      <c r="B239" s="4"/>
      <c r="C239" s="4"/>
      <c r="D239" s="4"/>
      <c r="E239" s="4"/>
      <c r="F239" s="4"/>
      <c r="G239" s="3"/>
      <c r="H239" s="3"/>
    </row>
    <row r="240" customFormat="false" ht="12.8" hidden="false" customHeight="false" outlineLevel="0" collapsed="false">
      <c r="A240" s="4" t="s">
        <v>62</v>
      </c>
      <c r="B240" s="9"/>
      <c r="C240" s="9"/>
      <c r="D240" s="9"/>
      <c r="E240" s="9"/>
      <c r="F240" s="9"/>
      <c r="G240" s="9"/>
      <c r="H240" s="9"/>
    </row>
    <row r="241" customFormat="false" ht="12.8" hidden="false" customHeight="false" outlineLevel="0" collapsed="false">
      <c r="A241" s="4" t="s">
        <v>63</v>
      </c>
      <c r="B241" s="9" t="n">
        <f aca="false"> 31040</f>
        <v>31040</v>
      </c>
      <c r="C241" s="9"/>
      <c r="D241" s="9"/>
      <c r="E241" s="9"/>
      <c r="F241" s="9"/>
      <c r="G241" s="9"/>
      <c r="H241" s="9"/>
    </row>
    <row r="242" customFormat="false" ht="12.8" hidden="false" customHeight="false" outlineLevel="0" collapsed="false">
      <c r="A242" s="4" t="s">
        <v>64</v>
      </c>
      <c r="B242" s="9" t="n">
        <f aca="false"> 711922</f>
        <v>711922</v>
      </c>
      <c r="C242" s="9"/>
      <c r="D242" s="9"/>
      <c r="E242" s="9"/>
      <c r="F242" s="9"/>
      <c r="G242" s="9"/>
      <c r="H242" s="9"/>
    </row>
    <row r="243" customFormat="false" ht="12.8" hidden="false" customHeight="false" outlineLevel="0" collapsed="false">
      <c r="A243" s="0" t="s">
        <v>65</v>
      </c>
      <c r="B243" s="0" t="n">
        <f aca="false"> 0.0007</f>
        <v>0.0007</v>
      </c>
    </row>
    <row r="245" customFormat="false" ht="12.8" hidden="false" customHeight="false" outlineLevel="0" collapsed="false">
      <c r="A245" s="0" t="s">
        <v>40</v>
      </c>
    </row>
    <row r="246" customFormat="false" ht="12.8" hidden="false" customHeight="false" outlineLevel="0" collapsed="false">
      <c r="A246" s="0" t="s">
        <v>74</v>
      </c>
    </row>
    <row r="248" customFormat="false" ht="12.8" hidden="false" customHeight="false" outlineLevel="0" collapsed="false">
      <c r="A248" s="0" t="s">
        <v>75</v>
      </c>
    </row>
    <row r="250" customFormat="false" ht="12.8" hidden="false" customHeight="false" outlineLevel="0" collapsed="false">
      <c r="A250" s="0" t="s">
        <v>76</v>
      </c>
    </row>
    <row r="251" customFormat="false" ht="12.8" hidden="false" customHeight="false" outlineLevel="0" collapsed="false">
      <c r="A251" s="0" t="s">
        <v>28</v>
      </c>
    </row>
    <row r="253" customFormat="false" ht="12.8" hidden="false" customHeight="false" outlineLevel="0" collapsed="false">
      <c r="A253" s="0" t="s">
        <v>77</v>
      </c>
    </row>
    <row r="254" customFormat="false" ht="12.8" hidden="false" customHeight="false" outlineLevel="0" collapsed="false">
      <c r="A254" s="0" t="s">
        <v>62</v>
      </c>
    </row>
    <row r="255" customFormat="false" ht="12.8" hidden="false" customHeight="false" outlineLevel="0" collapsed="false">
      <c r="A255" s="0" t="s">
        <v>63</v>
      </c>
      <c r="B255" s="0" t="n">
        <f aca="false"> 4361</f>
        <v>4361</v>
      </c>
    </row>
    <row r="256" customFormat="false" ht="12.8" hidden="false" customHeight="false" outlineLevel="0" collapsed="false">
      <c r="A256" s="0" t="s">
        <v>64</v>
      </c>
      <c r="B256" s="0" t="n">
        <f aca="false"> 196953</f>
        <v>196953</v>
      </c>
    </row>
    <row r="257" customFormat="false" ht="12.8" hidden="false" customHeight="false" outlineLevel="0" collapsed="false">
      <c r="A257" s="0" t="s">
        <v>65</v>
      </c>
      <c r="B257" s="0" t="n">
        <f aca="false"> 0.0104</f>
        <v>0.0104</v>
      </c>
    </row>
    <row r="259" customFormat="false" ht="12.8" hidden="false" customHeight="false" outlineLevel="0" collapsed="false">
      <c r="A259" s="0" t="s">
        <v>47</v>
      </c>
    </row>
    <row r="260" customFormat="false" ht="12.8" hidden="false" customHeight="false" outlineLevel="0" collapsed="false">
      <c r="A260" s="0" t="s">
        <v>78</v>
      </c>
    </row>
    <row r="262" customFormat="false" ht="12.8" hidden="false" customHeight="false" outlineLevel="0" collapsed="false">
      <c r="A262" s="0" t="s">
        <v>79</v>
      </c>
    </row>
    <row r="264" customFormat="false" ht="12.8" hidden="false" customHeight="false" outlineLevel="0" collapsed="false">
      <c r="A264" s="0" t="s">
        <v>80</v>
      </c>
    </row>
    <row r="265" customFormat="false" ht="12.8" hidden="false" customHeight="false" outlineLevel="0" collapsed="false">
      <c r="A265" s="0" t="s">
        <v>28</v>
      </c>
    </row>
    <row r="267" customFormat="false" ht="12.8" hidden="false" customHeight="false" outlineLevel="0" collapsed="false">
      <c r="A267" s="0" t="s">
        <v>81</v>
      </c>
    </row>
    <row r="268" customFormat="false" ht="12.8" hidden="false" customHeight="false" outlineLevel="0" collapsed="false">
      <c r="A268" s="0" t="s">
        <v>82</v>
      </c>
    </row>
    <row r="269" customFormat="false" ht="12.8" hidden="false" customHeight="false" outlineLevel="0" collapsed="false">
      <c r="A269" s="0" t="s">
        <v>63</v>
      </c>
      <c r="B269" s="0" t="n">
        <f aca="false"> 672</f>
        <v>672</v>
      </c>
    </row>
    <row r="270" customFormat="false" ht="12.8" hidden="false" customHeight="false" outlineLevel="0" collapsed="false">
      <c r="A270" s="0" t="s">
        <v>64</v>
      </c>
      <c r="B270" s="0" t="n">
        <f aca="false"> 54002</f>
        <v>54002</v>
      </c>
    </row>
    <row r="271" customFormat="false" ht="12.8" hidden="false" customHeight="false" outlineLevel="0" collapsed="false">
      <c r="A271" s="0" t="s">
        <v>65</v>
      </c>
      <c r="B271" s="0" t="n">
        <f aca="false"> 0.1196</f>
        <v>0.1196</v>
      </c>
    </row>
    <row r="273" customFormat="false" ht="12.8" hidden="false" customHeight="false" outlineLevel="0" collapsed="false">
      <c r="A273" s="0" t="s">
        <v>83</v>
      </c>
    </row>
    <row r="274" customFormat="false" ht="12.8" hidden="false" customHeight="false" outlineLevel="0" collapsed="false">
      <c r="A274" s="0" t="s">
        <v>84</v>
      </c>
    </row>
    <row r="276" customFormat="false" ht="12.8" hidden="false" customHeight="false" outlineLevel="0" collapsed="false">
      <c r="A276" s="0" t="s">
        <v>85</v>
      </c>
    </row>
    <row r="278" customFormat="false" ht="12.8" hidden="false" customHeight="false" outlineLevel="0" collapsed="false">
      <c r="A278" s="0" t="s">
        <v>86</v>
      </c>
    </row>
    <row r="279" customFormat="false" ht="12.8" hidden="false" customHeight="false" outlineLevel="0" collapsed="false">
      <c r="A279" s="0" t="s">
        <v>28</v>
      </c>
    </row>
    <row r="281" customFormat="false" ht="12.8" hidden="false" customHeight="false" outlineLevel="0" collapsed="false">
      <c r="A281" s="0" t="s">
        <v>87</v>
      </c>
    </row>
    <row r="282" customFormat="false" ht="12.8" hidden="false" customHeight="false" outlineLevel="0" collapsed="false">
      <c r="A282" s="0" t="s">
        <v>82</v>
      </c>
    </row>
    <row r="283" customFormat="false" ht="12.8" hidden="false" customHeight="false" outlineLevel="0" collapsed="false">
      <c r="A283" s="0" t="s">
        <v>63</v>
      </c>
      <c r="B283" s="0" t="n">
        <f aca="false"> 105</f>
        <v>105</v>
      </c>
    </row>
    <row r="284" customFormat="false" ht="12.8" hidden="false" customHeight="false" outlineLevel="0" collapsed="false">
      <c r="A284" s="0" t="s">
        <v>64</v>
      </c>
      <c r="B284" s="0" t="n">
        <f aca="false"> 8661</f>
        <v>8661</v>
      </c>
    </row>
    <row r="285" customFormat="false" ht="12.8" hidden="false" customHeight="false" outlineLevel="0" collapsed="false">
      <c r="A285" s="0" t="s">
        <v>65</v>
      </c>
      <c r="B285" s="0" t="n">
        <f aca="false"> 0.7856</f>
        <v>0.7856</v>
      </c>
    </row>
    <row r="287" customFormat="false" ht="12.8" hidden="false" customHeight="false" outlineLevel="0" collapsed="false">
      <c r="A287" s="0" t="s">
        <v>88</v>
      </c>
    </row>
    <row r="288" customFormat="false" ht="12.8" hidden="false" customHeight="false" outlineLevel="0" collapsed="false">
      <c r="A288" s="0" t="s">
        <v>89</v>
      </c>
    </row>
    <row r="290" customFormat="false" ht="12.8" hidden="false" customHeight="false" outlineLevel="0" collapsed="false">
      <c r="A290" s="0" t="s">
        <v>90</v>
      </c>
    </row>
    <row r="292" customFormat="false" ht="12.8" hidden="false" customHeight="false" outlineLevel="0" collapsed="false">
      <c r="A292" s="0" t="s">
        <v>91</v>
      </c>
    </row>
    <row r="293" customFormat="false" ht="12.8" hidden="false" customHeight="false" outlineLevel="0" collapsed="false">
      <c r="A293" s="0" t="s">
        <v>28</v>
      </c>
    </row>
    <row r="295" customFormat="false" ht="12.8" hidden="false" customHeight="false" outlineLevel="0" collapsed="false">
      <c r="A295" s="0" t="s">
        <v>92</v>
      </c>
    </row>
    <row r="296" customFormat="false" ht="12.8" hidden="false" customHeight="false" outlineLevel="0" collapsed="false">
      <c r="A296" s="0" t="s">
        <v>93</v>
      </c>
    </row>
    <row r="297" customFormat="false" ht="12.8" hidden="false" customHeight="false" outlineLevel="0" collapsed="false">
      <c r="A297" s="0" t="s">
        <v>63</v>
      </c>
      <c r="B297" s="0" t="n">
        <f aca="false"> 31</f>
        <v>31</v>
      </c>
    </row>
    <row r="298" customFormat="false" ht="12.8" hidden="false" customHeight="false" outlineLevel="0" collapsed="false">
      <c r="A298" s="0" t="s">
        <v>64</v>
      </c>
      <c r="B298" s="0" t="n">
        <f aca="false"> 961</f>
        <v>961</v>
      </c>
    </row>
    <row r="299" customFormat="false" ht="12.8" hidden="false" customHeight="false" outlineLevel="0" collapsed="false">
      <c r="A299" s="0" t="s">
        <v>65</v>
      </c>
      <c r="B299" s="0" t="n">
        <f aca="false"> 1</f>
        <v>1</v>
      </c>
    </row>
    <row r="300" customFormat="false" ht="12.8" hidden="false" customHeight="false" outlineLevel="0" collapsed="false">
      <c r="A300" s="0" t="s">
        <v>28</v>
      </c>
    </row>
    <row r="302" customFormat="false" ht="12.8" hidden="false" customHeight="false" outlineLevel="0" collapsed="false">
      <c r="A302" s="0" t="s">
        <v>94</v>
      </c>
    </row>
    <row r="311" customFormat="false" ht="12.8" hidden="false" customHeight="false" outlineLevel="0" collapsed="false">
      <c r="A311" s="9"/>
    </row>
    <row r="312" customFormat="false" ht="12.8" hidden="false" customHeight="false" outlineLevel="0" collapsed="false">
      <c r="A312" s="9"/>
    </row>
    <row r="313" customFormat="false" ht="12.8" hidden="false" customHeight="false" outlineLevel="0" collapsed="false">
      <c r="A313" s="9"/>
    </row>
    <row r="318" customFormat="false" ht="12.8" hidden="false" customHeight="false" outlineLevel="0" collapsed="false">
      <c r="A318" s="9"/>
    </row>
    <row r="319" customFormat="false" ht="12.8" hidden="false" customHeight="false" outlineLevel="0" collapsed="false">
      <c r="A319" s="9"/>
    </row>
    <row r="320" customFormat="false" ht="12.8" hidden="false" customHeight="false" outlineLevel="0" collapsed="false">
      <c r="A320" s="9"/>
    </row>
    <row r="324" customFormat="false" ht="12.8" hidden="false" customHeight="false" outlineLevel="0" collapsed="false">
      <c r="A324" s="5" t="s">
        <v>54</v>
      </c>
      <c r="B324" s="6" t="s">
        <v>1</v>
      </c>
      <c r="C324" s="3" t="s">
        <v>95</v>
      </c>
      <c r="D324" s="3" t="s">
        <v>56</v>
      </c>
    </row>
    <row r="325" customFormat="false" ht="12.8" hidden="false" customHeight="false" outlineLevel="0" collapsed="false">
      <c r="A325" s="4"/>
      <c r="B325" s="3" t="s">
        <v>13</v>
      </c>
      <c r="C325" s="4" t="s">
        <v>14</v>
      </c>
      <c r="D325" s="4" t="s">
        <v>15</v>
      </c>
    </row>
    <row r="326" customFormat="false" ht="12.8" hidden="false" customHeight="false" outlineLevel="0" collapsed="false">
      <c r="A326" s="4" t="s">
        <v>5</v>
      </c>
      <c r="B326" s="4" t="n">
        <v>0</v>
      </c>
      <c r="C326" s="4" t="n">
        <v>1</v>
      </c>
      <c r="D326" s="4" t="n">
        <v>2</v>
      </c>
      <c r="E326" s="4" t="n">
        <v>3</v>
      </c>
      <c r="F326" s="4" t="n">
        <v>4</v>
      </c>
      <c r="G326" s="3" t="n">
        <v>5</v>
      </c>
      <c r="H326" s="3"/>
    </row>
    <row r="327" customFormat="false" ht="12.8" hidden="false" customHeight="false" outlineLevel="0" collapsed="false">
      <c r="A327" s="4" t="s">
        <v>16</v>
      </c>
      <c r="B327" s="9" t="n">
        <v>6.18845E-005</v>
      </c>
      <c r="C327" s="9" t="n">
        <v>2.38269E-005</v>
      </c>
      <c r="D327" s="9" t="n">
        <v>4.18666E-006</v>
      </c>
      <c r="E327" s="9" t="n">
        <v>4.69049E-006</v>
      </c>
      <c r="F327" s="9" t="n">
        <v>4.00874E-006</v>
      </c>
      <c r="G327" s="9" t="n">
        <v>1.41501E-006</v>
      </c>
      <c r="H327" s="9"/>
    </row>
    <row r="328" customFormat="false" ht="12.8" hidden="false" customHeight="false" outlineLevel="0" collapsed="false">
      <c r="A328" s="4" t="s">
        <v>17</v>
      </c>
      <c r="B328" s="9" t="n">
        <v>4.09624E-006</v>
      </c>
      <c r="C328" s="9" t="n">
        <v>5.98292E-006</v>
      </c>
      <c r="D328" s="9" t="n">
        <v>6.27692E-006</v>
      </c>
      <c r="E328" s="9" t="n">
        <v>5.90993E-006</v>
      </c>
      <c r="F328" s="9" t="n">
        <v>3.49853E-006</v>
      </c>
      <c r="G328" s="9" t="n">
        <v>7.66118E-007</v>
      </c>
      <c r="H328" s="9"/>
    </row>
    <row r="329" customFormat="false" ht="12.8" hidden="false" customHeight="false" outlineLevel="0" collapsed="false">
      <c r="A329" s="4" t="s">
        <v>18</v>
      </c>
      <c r="B329" s="9" t="n">
        <v>6.31958E-006</v>
      </c>
      <c r="C329" s="9" t="n">
        <v>5.13311E-006</v>
      </c>
      <c r="D329" s="9" t="n">
        <v>5.47861E-006</v>
      </c>
      <c r="E329" s="9" t="n">
        <v>4.87225E-006</v>
      </c>
      <c r="F329" s="9" t="n">
        <v>4.19312E-006</v>
      </c>
      <c r="G329" s="9" t="n">
        <v>1.70906E-006</v>
      </c>
      <c r="H329" s="9"/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3425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2018-02-01T19:54:57Z</dcterms:created>
  <dc:creator/>
  <dc:description/>
  <dc:language>en-US</dc:language>
  <cp:lastModifiedBy/>
  <dcterms:modified xsi:type="dcterms:W3CDTF">2018-03-14T00:08:21Z</dcterms:modified>
  <cp:revision>102</cp:revision>
  <dc:subject/>
  <dc:title/>
</cp:coreProperties>
</file>